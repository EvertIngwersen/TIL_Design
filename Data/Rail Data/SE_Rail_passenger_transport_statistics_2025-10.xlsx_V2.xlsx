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7.xml" ContentType="application/vnd.openxmlformats-officedocument.drawingml.chart+xml"/>
  <Override PartName="/xl/drawings/drawing10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M:\Projet\Rail\Contract-2025\Task3-Dissemination\2-Pass\"/>
    </mc:Choice>
  </mc:AlternateContent>
  <xr:revisionPtr revIDLastSave="0" documentId="13_ncr:1_{62CFF3AD-A3DD-42D2-B483-36AE58CADA50}" xr6:coauthVersionLast="47" xr6:coauthVersionMax="47" xr10:uidLastSave="{00000000-0000-0000-0000-000000000000}"/>
  <bookViews>
    <workbookView xWindow="-120" yWindow="-120" windowWidth="29040" windowHeight="15720" tabRatio="705" xr2:uid="{00000000-000D-0000-FFFF-FFFF00000000}"/>
  </bookViews>
  <sheets>
    <sheet name="Figure1" sheetId="10" r:id="rId1"/>
    <sheet name="Figure2" sheetId="9" r:id="rId2"/>
    <sheet name="Figure3" sheetId="7" r:id="rId3"/>
    <sheet name="Figure4" sheetId="17" r:id="rId4"/>
    <sheet name="Figure5" sheetId="18" r:id="rId5"/>
  </sheets>
  <definedNames>
    <definedName name="_xlcn.WorksheetConnection_T9A2C161" hidden="1">#REF!</definedName>
    <definedName name="Annee_Ref">#REF!</definedName>
    <definedName name="Eurobase">#REF!</definedName>
    <definedName name="Fig2_Year3">#REF!</definedName>
    <definedName name="Flag">INDIRECT(#REF!)</definedName>
    <definedName name="mydate">#REF!:INDEX(#REF!,COUNT(#REF!))</definedName>
    <definedName name="mylist">INDEX((#REF!,#REF!,#REF!),,,MATCH(#REF!,#REF!,0))</definedName>
    <definedName name="myvalue">#REF!:INDEX(#REF!,COUNT(#REF!))</definedName>
    <definedName name="_xlnm.Print_Area" localSheetId="0">Figure1!$A$40:$U$46</definedName>
    <definedName name="_xlnm.Print_Area" localSheetId="1">Figure2!$B$1:$E$39</definedName>
    <definedName name="_xlnm.Print_Area" localSheetId="3">Figure4!$B$1:$E$37</definedName>
    <definedName name="_xlnm.Print_Area" localSheetId="4">Figure5!$B$1:$E$37</definedName>
    <definedName name="Source">#REF!</definedName>
    <definedName name="waffl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<sst xmlns="http://schemas.openxmlformats.org/spreadsheetml/2006/main" count="206" uniqueCount="90">
  <si>
    <t>Belgium</t>
  </si>
  <si>
    <t>Bulgaria</t>
  </si>
  <si>
    <t>Denmark</t>
  </si>
  <si>
    <t>Germany</t>
  </si>
  <si>
    <t>Estonia</t>
  </si>
  <si>
    <t>Ireland</t>
  </si>
  <si>
    <t>Greece</t>
  </si>
  <si>
    <t>Spain</t>
  </si>
  <si>
    <t>France</t>
  </si>
  <si>
    <t>Italy</t>
  </si>
  <si>
    <t>Latvia</t>
  </si>
  <si>
    <t>Lithuania</t>
  </si>
  <si>
    <t>Luxembourg</t>
  </si>
  <si>
    <t>Hungary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</si>
  <si>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</si>
  <si>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</si>
  <si>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</si>
  <si>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</si>
  <si>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</si>
  <si>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</si>
  <si>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</si>
  <si>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</si>
  <si>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</si>
  <si>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Switzerland</t>
  </si>
  <si>
    <t>Norway</t>
  </si>
  <si>
    <t>International</t>
  </si>
  <si>
    <t>National</t>
  </si>
  <si>
    <t>Croatia</t>
  </si>
  <si>
    <t>Czechia</t>
  </si>
  <si>
    <t>(billion passenger-kilometres)</t>
  </si>
  <si>
    <t>North Macedonia</t>
  </si>
  <si>
    <t>Quarterly data</t>
  </si>
  <si>
    <t>EU</t>
  </si>
  <si>
    <t>Q1</t>
  </si>
  <si>
    <t>Q2</t>
  </si>
  <si>
    <t>Q3</t>
  </si>
  <si>
    <t>Q4</t>
  </si>
  <si>
    <t>Billion PKM</t>
  </si>
  <si>
    <t>(%, based on passenger-kilometres)</t>
  </si>
  <si>
    <t>(million passengers)</t>
  </si>
  <si>
    <t>(passengers per capita)</t>
  </si>
  <si>
    <t>(¹) No international tansport.</t>
  </si>
  <si>
    <t xml:space="preserve">Türkiye </t>
  </si>
  <si>
    <t>Türkiye</t>
  </si>
  <si>
    <t>(²) International transport is less than 0.5 %.</t>
  </si>
  <si>
    <t>Montenegro (²)</t>
  </si>
  <si>
    <t>Bosnia and Herzegovina (²)</t>
  </si>
  <si>
    <t>Note: Cyprus and Malta have no railways. Data are not available for Bosnia and Herzegovina, Montenegro and Serbia.</t>
  </si>
  <si>
    <t xml:space="preserve">Note: countries are ranked based on 2024 data. Data for Belgium are confidential. Cyprus and Malta have no railways. </t>
  </si>
  <si>
    <t>Figure 2: Rail passenger transport for main undertakings, 2022, 2023 and 2024</t>
  </si>
  <si>
    <t>Serbia (²)</t>
  </si>
  <si>
    <t>Greece (¹)</t>
  </si>
  <si>
    <t>Finland (¹)</t>
  </si>
  <si>
    <t>Estonia (²)</t>
  </si>
  <si>
    <t>Portugal (²)</t>
  </si>
  <si>
    <t>Figure 4: Rail passenger transport for main undertakings, 2022, 2023 and 2024</t>
  </si>
  <si>
    <t>Figure 5: Rail passenger transport for main undertakings, 2022, 2023 and 2024</t>
  </si>
  <si>
    <t>Note: data for Belgium are not included. 2015-2023: based on quarterly data for Hungary.</t>
  </si>
  <si>
    <t>Note: countries are ranked based on 2024 data. Data for Belgium are confidential. Cyprus and Malta have no railways. Population on 1 January.</t>
  </si>
  <si>
    <t>Netherlands (¹)</t>
  </si>
  <si>
    <t>(¹) 2024: break in time series due to methodological improvements.</t>
  </si>
  <si>
    <t>(²) 2022-2023: based on quarterly data.</t>
  </si>
  <si>
    <t>Hungary (²)</t>
  </si>
  <si>
    <t>(³) Based on quarterly data.</t>
  </si>
  <si>
    <t>Serbia (³)</t>
  </si>
  <si>
    <t>Montenegro (³)</t>
  </si>
  <si>
    <t>Bosnia and Herzegovina (³)</t>
  </si>
  <si>
    <t>(²) 2022-2023: number of passengers based on quarterly data.</t>
  </si>
  <si>
    <t>Netherlands  (¹)</t>
  </si>
  <si>
    <t>Hungary  (²)</t>
  </si>
  <si>
    <t>Figure 1: Rail passenger transport for main undertakings, EU, 2015-2024</t>
  </si>
  <si>
    <t>Source: Eurostat (online data codes: rail_pa_typepas and rail_pa_quartal)</t>
  </si>
  <si>
    <t>Figure 3: Rail passenger transport by type of transport for main undertakings, 2024</t>
  </si>
  <si>
    <t>Source: Eurostat (online data code: rail_pa_typepas)</t>
  </si>
  <si>
    <t>Source: Eurostat (online data codes: rail_pa_typepas, rail_pa_quartal and demo_gind)</t>
  </si>
  <si>
    <t>Change rate between the same quarter of two consecutive years</t>
  </si>
  <si>
    <t>North Macedonia (¹)</t>
  </si>
  <si>
    <t>Bookmark</t>
  </si>
  <si>
    <t>rail_pa_quartal</t>
  </si>
  <si>
    <t>rail_pa_typepas</t>
  </si>
  <si>
    <t>https://ec.europa.eu/eurostat/databrowser/bookmark/106e51fc-6c17-4c65-84fa-1253750fd009?lang=en&amp;createdAt=2025-10-28T07:14:30Z</t>
  </si>
  <si>
    <t>https://ec.europa.eu/eurostat/databrowser/bookmark/46cb6bfd-4ffc-4327-ad56-59ae0b5b1c73?lang=en&amp;createdAt=2025-10-28T07:15:54Z</t>
  </si>
  <si>
    <t>https://ec.europa.eu/eurostat/databrowser/bookmark/a2df351c-0634-4680-a98f-03e89107f6c2?lang=en&amp;createdAt=2025-10-28T07:17:35Z</t>
  </si>
  <si>
    <t>https://ec.europa.eu/eurostat/databrowser/bookmark/f06fba8d-f26c-441e-af75-efcc0820f894?lang=en&amp;createdAt=2025-10-28T07:18:21Z</t>
  </si>
  <si>
    <t>rail_pa_typas</t>
  </si>
  <si>
    <t>https://ec.europa.eu/eurostat/databrowser/bookmark/fd907161-4da7-43f3-9fbe-25c32783d548?lang=en&amp;createdAt=2025-10-28T07:19:51Z</t>
  </si>
  <si>
    <t>https://ec.europa.eu/eurostat/databrowser/bookmark/92b6ed40-8990-4f18-ae65-96731d28f58a?lang=en&amp;createdAt=2025-10-28T07:21:35Z</t>
  </si>
  <si>
    <t>https://ec.europa.eu/eurostat/databrowser/bookmark/8b2763d4-ec37-492d-99c9-0135f67640b1?lang=en&amp;createdAt=2025-10-28T07:22:09Z</t>
  </si>
  <si>
    <t>demo_gind</t>
  </si>
  <si>
    <t>https://ec.europa.eu/eurostat/databrowser/bookmark/d4ffe2d5-dd65-4b12-9ba4-cd68e90c036b?lang=en&amp;createdAt=2025-10-28T07:24:24Z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</si>
</sst>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\ ###\ ###\ ##0"/>
    <numFmt numFmtId="165" formatCode="#,##0.0"/>
    <numFmt numFmtId="166" formatCode="0.0%"/>
    <numFmt numFmtId="167" formatCode="###0"/>
    <numFmt numFmtId="168" formatCode="#,##0.0_i"/>
    <numFmt numFmtId="169" formatCode="#,##0_i"/>
    <numFmt numFmtId="170" formatCode="0.0"/>
    <numFmt numFmtId="171" formatCode="###\ ###\ ###\ ##0.0"/>
    <numFmt numFmtId="172" formatCode="#,##0.00_i"/>
  </numFmts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  <font>
      <i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b/>
      <sz val="10"/>
      <color rgb="FF0070C0"/>
      <name val="Arial"/>
      <family val="2"/>
    </font>
    <font>
      <b/>
      <sz val="11"/>
      <color rgb="FFFF000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11"/>
      </patternFill>
    </fill>
    <fill>
      <patternFill patternType="solid">
        <fgColor theme="4" tint="0.79998168889431442"/>
        <bgColor indexed="11"/>
      </patternFill>
    </fill>
    <fill>
      <patternFill patternType="solid">
        <fgColor theme="4" tint="0.79998168889431442"/>
        <bgColor indexed="8"/>
      </patternFill>
    </fill>
    <fill>
      <patternFill patternType="solid">
        <fgColor theme="4" tint="0.79998168889431442"/>
        <bgColor indexed="13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hair">
        <color indexed="22"/>
      </bottom>
      <diagonal/>
    </border>
    <border>
      <left style="hair">
        <color rgb="FFA6A6A6"/>
      </left>
      <right style="hair">
        <color rgb="FFA6A6A6"/>
      </right>
      <top/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hair">
        <color rgb="FFA6A6A6"/>
      </left>
      <right style="hair">
        <color rgb="FFA6A6A6"/>
      </right>
      <top style="hair">
        <color indexed="22"/>
      </top>
      <bottom style="hair">
        <color indexed="2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indexed="64"/>
      </left>
      <right/>
      <top style="thin">
        <color rgb="FF000000"/>
      </top>
      <bottom/>
      <diagonal/>
    </border>
    <border>
      <left/>
      <right style="hair">
        <color indexed="64"/>
      </right>
      <top style="thin">
        <color rgb="FF000000"/>
      </top>
      <bottom/>
      <diagonal/>
    </border>
    <border>
      <left style="thin">
        <color indexed="10"/>
      </left>
      <right style="thin">
        <color indexed="10"/>
      </right>
      <top style="thin">
        <color rgb="FF000000"/>
      </top>
      <bottom/>
      <diagonal/>
    </border>
    <border>
      <left style="hair">
        <color indexed="64"/>
      </left>
      <right style="hair">
        <color indexed="64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C0C0C0"/>
      </bottom>
      <diagonal/>
    </border>
    <border>
      <left/>
      <right style="hair">
        <color indexed="64"/>
      </right>
      <top style="thin">
        <color rgb="FF000000"/>
      </top>
      <bottom style="hair">
        <color rgb="FFC0C0C0"/>
      </bottom>
      <diagonal/>
    </border>
    <border>
      <left/>
      <right/>
      <top style="hair">
        <color rgb="FFC0C0C0"/>
      </top>
      <bottom style="thin">
        <color rgb="FF000000"/>
      </bottom>
      <diagonal/>
    </border>
    <border>
      <left/>
      <right style="hair">
        <color indexed="64"/>
      </right>
      <top style="hair">
        <color rgb="FFC0C0C0"/>
      </top>
      <bottom style="thin">
        <color rgb="FF000000"/>
      </bottom>
      <diagonal/>
    </border>
    <border>
      <left style="hair">
        <color indexed="64"/>
      </left>
      <right/>
      <top style="thin">
        <color rgb="FF000000"/>
      </top>
      <bottom style="hair">
        <color rgb="FFC0C0C0"/>
      </bottom>
      <diagonal/>
    </border>
    <border>
      <left style="hair">
        <color indexed="64"/>
      </left>
      <right/>
      <top style="hair">
        <color rgb="FFC0C0C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hair">
        <color indexed="22"/>
      </top>
      <bottom/>
      <diagonal/>
    </border>
    <border>
      <left style="hair">
        <color rgb="FFA6A6A6"/>
      </left>
      <right style="hair">
        <color rgb="FFA6A6A6"/>
      </right>
      <top style="hair">
        <color indexed="22"/>
      </top>
      <bottom/>
      <diagonal/>
    </border>
    <border>
      <left/>
      <right/>
      <top style="hair">
        <color indexed="22"/>
      </top>
      <bottom style="thin">
        <color rgb="FF000000"/>
      </bottom>
      <diagonal/>
    </border>
    <border>
      <left style="hair">
        <color rgb="FFA6A6A6"/>
      </left>
      <right style="hair">
        <color rgb="FFA6A6A6"/>
      </right>
      <top style="hair">
        <color indexed="22"/>
      </top>
      <bottom style="thin">
        <color rgb="FF000000"/>
      </bottom>
      <diagonal/>
    </border>
    <border>
      <left style="hair">
        <color rgb="FFA6A6A6"/>
      </left>
      <right style="hair">
        <color rgb="FFA6A6A6"/>
      </right>
      <top/>
      <bottom style="thin">
        <color rgb="FF000000"/>
      </bottom>
      <diagonal/>
    </border>
    <border>
      <left style="hair">
        <color rgb="FFA6A6A6"/>
      </left>
      <right/>
      <top/>
      <bottom style="hair">
        <color indexed="22"/>
      </bottom>
      <diagonal/>
    </border>
    <border>
      <left style="hair">
        <color rgb="FFA6A6A6"/>
      </left>
      <right/>
      <top style="hair">
        <color indexed="22"/>
      </top>
      <bottom style="hair">
        <color indexed="22"/>
      </bottom>
      <diagonal/>
    </border>
    <border>
      <left style="hair">
        <color rgb="FFA6A6A6"/>
      </left>
      <right/>
      <top style="hair">
        <color indexed="22"/>
      </top>
      <bottom/>
      <diagonal/>
    </border>
    <border>
      <left style="hair">
        <color rgb="FFA6A6A6"/>
      </left>
      <right/>
      <top style="hair">
        <color indexed="22"/>
      </top>
      <bottom style="thin">
        <color rgb="FF000000"/>
      </bottom>
      <diagonal/>
    </border>
    <border>
      <left style="hair">
        <color rgb="FFA6A6A6"/>
      </left>
      <right/>
      <top/>
      <bottom style="thin">
        <color rgb="FF00000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 style="hair">
        <color rgb="FFA6A6A6"/>
      </left>
      <right/>
      <top style="thin">
        <color rgb="FF000000"/>
      </top>
      <bottom style="thin">
        <color rgb="FF000000"/>
      </bottom>
      <diagonal/>
    </border>
    <border>
      <left style="hair">
        <color rgb="FFA6A6A6"/>
      </left>
      <right/>
      <top style="thin">
        <color rgb="FF000000"/>
      </top>
      <bottom/>
      <diagonal/>
    </border>
    <border>
      <left style="hair">
        <color rgb="FFA6A6A6"/>
      </left>
      <right/>
      <top style="thin">
        <color rgb="FF000000"/>
      </top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thin">
        <color rgb="FF000000"/>
      </bottom>
      <diagonal/>
    </border>
    <border>
      <left style="hair">
        <color rgb="FFA6A6A6"/>
      </left>
      <right style="hair">
        <color rgb="FFA6A6A6"/>
      </right>
      <top/>
      <bottom/>
      <diagonal/>
    </border>
    <border>
      <left style="hair">
        <color rgb="FFA6A6A6"/>
      </left>
      <right/>
      <top/>
      <bottom/>
      <diagonal/>
    </border>
    <border>
      <left style="hair">
        <color rgb="FFA6A6A6"/>
      </left>
      <right style="hair">
        <color rgb="FFA6A6A6"/>
      </right>
      <top style="thin">
        <color rgb="FF000000"/>
      </top>
      <bottom style="hair">
        <color rgb="FFC0C0C0"/>
      </bottom>
      <diagonal/>
    </border>
    <border>
      <left style="hair">
        <color rgb="FFA6A6A6"/>
      </left>
      <right style="hair">
        <color rgb="FFA6A6A6"/>
      </right>
      <top style="hair">
        <color rgb="FFC0C0C0"/>
      </top>
      <bottom style="hair">
        <color rgb="FFC0C0C0"/>
      </bottom>
      <diagonal/>
    </border>
    <border>
      <left style="hair">
        <color rgb="FFA6A6A6"/>
      </left>
      <right style="hair">
        <color rgb="FFA6A6A6"/>
      </right>
      <top style="hair">
        <color rgb="FFC0C0C0"/>
      </top>
      <bottom style="thin">
        <color rgb="FF000000"/>
      </bottom>
      <diagonal/>
    </border>
  </borders>
  <cellStyleXfs count="9">
    <xf numFmtId="0" fontId="0" fillId="0" borderId="0"/>
    <xf numFmtId="0" fontId="2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0" fontId="2" fillId="0" borderId="0"/>
    <xf numFmtId="168" fontId="3" fillId="0" borderId="0" applyFill="0" applyBorder="0" applyProtection="0">
      <alignment horizontal="right"/>
    </xf>
    <xf numFmtId="0" fontId="17" fillId="0" borderId="0" applyNumberFormat="0" applyFill="0" applyBorder="0" applyAlignment="0" applyProtection="0"/>
  </cellStyleXfs>
  <cellXfs count="157">
    <xf numFmtId="0" fontId="0" fillId="0" borderId="0" xfId="0"/>
    <xf numFmtId="0" fontId="6" fillId="0" borderId="0" xfId="0" applyFont="1" applyAlignment="1">
      <alignment horizontal="left"/>
    </xf>
    <xf numFmtId="0" fontId="8" fillId="0" borderId="0" xfId="5" applyFont="1" applyAlignment="1">
      <alignment horizontal="left"/>
    </xf>
    <xf numFmtId="0" fontId="2" fillId="0" borderId="0" xfId="5" applyFont="1"/>
    <xf numFmtId="166" fontId="2" fillId="0" borderId="0" xfId="4" applyNumberFormat="1" applyFont="1" applyBorder="1"/>
    <xf numFmtId="9" fontId="2" fillId="0" borderId="0" xfId="4" applyFont="1" applyBorder="1"/>
    <xf numFmtId="0" fontId="4" fillId="6" borderId="0" xfId="5" applyFont="1" applyFill="1" applyAlignment="1">
      <alignment horizontal="left" vertical="center"/>
    </xf>
    <xf numFmtId="0" fontId="2" fillId="0" borderId="0" xfId="5" applyFont="1" applyAlignment="1">
      <alignment horizontal="left" vertical="center"/>
    </xf>
    <xf numFmtId="171" fontId="2" fillId="0" borderId="0" xfId="5" applyNumberFormat="1" applyFont="1" applyAlignment="1">
      <alignment horizontal="right" vertical="center"/>
    </xf>
    <xf numFmtId="164" fontId="2" fillId="3" borderId="0" xfId="5" applyNumberFormat="1" applyFont="1" applyFill="1" applyAlignment="1">
      <alignment horizontal="right" vertical="center"/>
    </xf>
    <xf numFmtId="0" fontId="5" fillId="0" borderId="0" xfId="5" applyFont="1" applyAlignment="1">
      <alignment horizontal="left" vertical="center"/>
    </xf>
    <xf numFmtId="170" fontId="2" fillId="0" borderId="0" xfId="5" applyNumberFormat="1" applyFont="1"/>
    <xf numFmtId="166" fontId="5" fillId="0" borderId="0" xfId="4" applyNumberFormat="1" applyFont="1" applyBorder="1"/>
    <xf numFmtId="0" fontId="2" fillId="0" borderId="0" xfId="5" applyFont="1" applyAlignment="1">
      <alignment horizontal="left"/>
    </xf>
    <xf numFmtId="0" fontId="10" fillId="0" borderId="0" xfId="5" applyFont="1"/>
    <xf numFmtId="0" fontId="2" fillId="2" borderId="0" xfId="5" applyFont="1" applyFill="1"/>
    <xf numFmtId="0" fontId="5" fillId="0" borderId="0" xfId="5" applyFont="1"/>
    <xf numFmtId="0" fontId="2" fillId="0" borderId="0" xfId="6"/>
    <xf numFmtId="0" fontId="2" fillId="0" borderId="0" xfId="6" applyAlignment="1">
      <alignment horizontal="left"/>
    </xf>
    <xf numFmtId="0" fontId="2" fillId="0" borderId="0" xfId="5" applyFont="1" applyAlignment="1">
      <alignment horizontal="center"/>
    </xf>
    <xf numFmtId="166" fontId="2" fillId="2" borderId="0" xfId="3" applyNumberFormat="1" applyFont="1" applyFill="1" applyBorder="1" applyAlignment="1">
      <alignment horizontal="right"/>
    </xf>
    <xf numFmtId="169" fontId="5" fillId="2" borderId="0" xfId="7" applyNumberFormat="1" applyFont="1" applyFill="1" applyBorder="1">
      <alignment horizontal="right"/>
    </xf>
    <xf numFmtId="169" fontId="5" fillId="2" borderId="0" xfId="7" applyNumberFormat="1" applyFont="1" applyFill="1" applyBorder="1" applyAlignment="1">
      <alignment horizontal="right" vertical="center"/>
    </xf>
    <xf numFmtId="0" fontId="2" fillId="2" borderId="0" xfId="5" quotePrefix="1" applyFont="1" applyFill="1"/>
    <xf numFmtId="0" fontId="5" fillId="2" borderId="4" xfId="5" applyFont="1" applyFill="1" applyBorder="1" applyAlignment="1">
      <alignment horizontal="left"/>
    </xf>
    <xf numFmtId="0" fontId="6" fillId="0" borderId="0" xfId="0" applyFont="1"/>
    <xf numFmtId="0" fontId="11" fillId="4" borderId="0" xfId="0" applyFont="1" applyFill="1" applyAlignment="1">
      <alignment horizontal="left" vertical="center" wrapText="1" shrinkToFit="1"/>
    </xf>
    <xf numFmtId="164" fontId="2" fillId="3" borderId="0" xfId="0" applyNumberFormat="1" applyFont="1" applyFill="1" applyAlignment="1">
      <alignment horizontal="right" vertical="center"/>
    </xf>
    <xf numFmtId="0" fontId="2" fillId="2" borderId="0" xfId="0" quotePrefix="1" applyFont="1" applyFill="1"/>
    <xf numFmtId="0" fontId="10" fillId="0" borderId="0" xfId="0" applyFont="1"/>
    <xf numFmtId="9" fontId="6" fillId="0" borderId="0" xfId="3" applyFont="1"/>
    <xf numFmtId="166" fontId="2" fillId="0" borderId="0" xfId="3" applyNumberFormat="1" applyFont="1" applyFill="1" applyBorder="1" applyAlignment="1">
      <alignment horizontal="right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3" fillId="0" borderId="0" xfId="6" applyFont="1"/>
    <xf numFmtId="0" fontId="3" fillId="2" borderId="0" xfId="5" applyFont="1" applyFill="1"/>
    <xf numFmtId="168" fontId="2" fillId="0" borderId="2" xfId="7" applyFont="1" applyFill="1" applyBorder="1">
      <alignment horizontal="right"/>
    </xf>
    <xf numFmtId="168" fontId="2" fillId="2" borderId="2" xfId="7" applyFont="1" applyFill="1" applyBorder="1">
      <alignment horizontal="right"/>
    </xf>
    <xf numFmtId="168" fontId="2" fillId="2" borderId="2" xfId="7" applyFont="1" applyFill="1" applyBorder="1" applyAlignment="1">
      <alignment horizontal="right" vertical="center"/>
    </xf>
    <xf numFmtId="169" fontId="5" fillId="0" borderId="0" xfId="7" applyNumberFormat="1" applyFont="1" applyFill="1" applyBorder="1">
      <alignment horizontal="right"/>
    </xf>
    <xf numFmtId="169" fontId="5" fillId="0" borderId="0" xfId="7" applyNumberFormat="1" applyFont="1" applyFill="1" applyBorder="1" applyAlignment="1">
      <alignment horizontal="right" vertical="center"/>
    </xf>
    <xf numFmtId="0" fontId="2" fillId="0" borderId="0" xfId="2" applyAlignment="1">
      <alignment horizontal="left"/>
    </xf>
    <xf numFmtId="0" fontId="5" fillId="5" borderId="6" xfId="5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9" fontId="5" fillId="5" borderId="1" xfId="4" applyFont="1" applyFill="1" applyBorder="1" applyAlignment="1">
      <alignment horizontal="center" vertical="center"/>
    </xf>
    <xf numFmtId="1" fontId="5" fillId="8" borderId="9" xfId="5" applyNumberFormat="1" applyFont="1" applyFill="1" applyBorder="1" applyAlignment="1">
      <alignment horizontal="center" vertical="center"/>
    </xf>
    <xf numFmtId="1" fontId="5" fillId="9" borderId="11" xfId="5" applyNumberFormat="1" applyFont="1" applyFill="1" applyBorder="1" applyAlignment="1">
      <alignment horizontal="center" vertical="center"/>
    </xf>
    <xf numFmtId="0" fontId="5" fillId="10" borderId="6" xfId="5" applyFont="1" applyFill="1" applyBorder="1" applyAlignment="1">
      <alignment horizontal="left" vertical="center"/>
    </xf>
    <xf numFmtId="165" fontId="5" fillId="10" borderId="10" xfId="5" applyNumberFormat="1" applyFont="1" applyFill="1" applyBorder="1" applyAlignment="1">
      <alignment horizontal="right" vertical="center"/>
    </xf>
    <xf numFmtId="4" fontId="2" fillId="10" borderId="6" xfId="4" applyNumberFormat="1" applyFont="1" applyFill="1" applyBorder="1"/>
    <xf numFmtId="165" fontId="2" fillId="10" borderId="6" xfId="4" applyNumberFormat="1" applyFont="1" applyFill="1" applyBorder="1"/>
    <xf numFmtId="0" fontId="5" fillId="10" borderId="13" xfId="5" applyFont="1" applyFill="1" applyBorder="1" applyAlignment="1">
      <alignment horizontal="left" vertical="center"/>
    </xf>
    <xf numFmtId="165" fontId="5" fillId="10" borderId="14" xfId="5" applyNumberFormat="1" applyFont="1" applyFill="1" applyBorder="1" applyAlignment="1">
      <alignment horizontal="right" vertical="center"/>
    </xf>
    <xf numFmtId="0" fontId="5" fillId="10" borderId="15" xfId="5" applyFont="1" applyFill="1" applyBorder="1" applyAlignment="1">
      <alignment horizontal="left" vertical="center"/>
    </xf>
    <xf numFmtId="166" fontId="5" fillId="10" borderId="16" xfId="4" applyNumberFormat="1" applyFont="1" applyFill="1" applyBorder="1" applyAlignment="1">
      <alignment horizontal="right" vertical="center"/>
    </xf>
    <xf numFmtId="167" fontId="4" fillId="7" borderId="6" xfId="5" applyNumberFormat="1" applyFont="1" applyFill="1" applyBorder="1" applyAlignment="1">
      <alignment horizontal="center" vertical="center"/>
    </xf>
    <xf numFmtId="165" fontId="5" fillId="10" borderId="17" xfId="5" applyNumberFormat="1" applyFont="1" applyFill="1" applyBorder="1" applyAlignment="1">
      <alignment horizontal="right" vertical="center"/>
    </xf>
    <xf numFmtId="166" fontId="5" fillId="10" borderId="18" xfId="4" applyNumberFormat="1" applyFont="1" applyFill="1" applyBorder="1" applyAlignment="1">
      <alignment horizontal="right" vertical="center"/>
    </xf>
    <xf numFmtId="0" fontId="2" fillId="0" borderId="0" xfId="5" quotePrefix="1" applyFont="1"/>
    <xf numFmtId="167" fontId="5" fillId="5" borderId="6" xfId="5" applyNumberFormat="1" applyFont="1" applyFill="1" applyBorder="1" applyAlignment="1">
      <alignment horizontal="center" vertical="center"/>
    </xf>
    <xf numFmtId="0" fontId="5" fillId="0" borderId="2" xfId="5" applyFont="1" applyBorder="1" applyAlignment="1">
      <alignment horizontal="left"/>
    </xf>
    <xf numFmtId="0" fontId="5" fillId="0" borderId="4" xfId="5" applyFont="1" applyBorder="1" applyAlignment="1">
      <alignment horizontal="left"/>
    </xf>
    <xf numFmtId="0" fontId="5" fillId="2" borderId="0" xfId="5" quotePrefix="1" applyFont="1" applyFill="1" applyAlignment="1">
      <alignment horizontal="left"/>
    </xf>
    <xf numFmtId="0" fontId="5" fillId="2" borderId="21" xfId="5" applyFont="1" applyFill="1" applyBorder="1" applyAlignment="1">
      <alignment horizontal="left"/>
    </xf>
    <xf numFmtId="0" fontId="5" fillId="2" borderId="23" xfId="5" applyFont="1" applyFill="1" applyBorder="1" applyAlignment="1">
      <alignment horizontal="left"/>
    </xf>
    <xf numFmtId="0" fontId="5" fillId="2" borderId="2" xfId="5" applyFont="1" applyFill="1" applyBorder="1" applyAlignment="1">
      <alignment horizontal="left"/>
    </xf>
    <xf numFmtId="0" fontId="2" fillId="2" borderId="12" xfId="5" applyFont="1" applyFill="1" applyBorder="1"/>
    <xf numFmtId="169" fontId="2" fillId="2" borderId="12" xfId="7" applyNumberFormat="1" applyFont="1" applyFill="1" applyBorder="1">
      <alignment horizontal="right"/>
    </xf>
    <xf numFmtId="0" fontId="5" fillId="2" borderId="12" xfId="5" quotePrefix="1" applyFont="1" applyFill="1" applyBorder="1" applyAlignment="1">
      <alignment horizontal="left"/>
    </xf>
    <xf numFmtId="0" fontId="2" fillId="2" borderId="6" xfId="5" applyFont="1" applyFill="1" applyBorder="1"/>
    <xf numFmtId="169" fontId="2" fillId="2" borderId="6" xfId="7" applyNumberFormat="1" applyFont="1" applyFill="1" applyBorder="1">
      <alignment horizontal="right"/>
    </xf>
    <xf numFmtId="0" fontId="16" fillId="0" borderId="0" xfId="5" applyFont="1"/>
    <xf numFmtId="170" fontId="6" fillId="0" borderId="0" xfId="0" applyNumberFormat="1" applyFont="1"/>
    <xf numFmtId="2" fontId="6" fillId="0" borderId="0" xfId="0" applyNumberFormat="1" applyFont="1"/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6" fillId="0" borderId="0" xfId="3" applyFont="1" applyBorder="1"/>
    <xf numFmtId="170" fontId="6" fillId="10" borderId="32" xfId="3" applyNumberFormat="1" applyFont="1" applyFill="1" applyBorder="1"/>
    <xf numFmtId="0" fontId="4" fillId="7" borderId="33" xfId="0" applyFont="1" applyFill="1" applyBorder="1" applyAlignment="1">
      <alignment horizontal="center" vertical="center" wrapText="1"/>
    </xf>
    <xf numFmtId="170" fontId="6" fillId="10" borderId="32" xfId="0" applyNumberFormat="1" applyFont="1" applyFill="1" applyBorder="1"/>
    <xf numFmtId="2" fontId="6" fillId="0" borderId="34" xfId="0" applyNumberFormat="1" applyFont="1" applyBorder="1"/>
    <xf numFmtId="2" fontId="6" fillId="0" borderId="35" xfId="0" applyNumberFormat="1" applyFont="1" applyBorder="1"/>
    <xf numFmtId="2" fontId="6" fillId="0" borderId="36" xfId="0" applyNumberFormat="1" applyFont="1" applyBorder="1"/>
    <xf numFmtId="0" fontId="11" fillId="0" borderId="13" xfId="0" applyFont="1" applyBorder="1" applyAlignment="1">
      <alignment horizontal="left"/>
    </xf>
    <xf numFmtId="0" fontId="11" fillId="0" borderId="31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5" fillId="10" borderId="1" xfId="0" applyFont="1" applyFill="1" applyBorder="1" applyAlignment="1">
      <alignment horizontal="left" vertical="center"/>
    </xf>
    <xf numFmtId="0" fontId="5" fillId="0" borderId="0" xfId="5" applyFont="1" applyAlignment="1">
      <alignment horizontal="left"/>
    </xf>
    <xf numFmtId="0" fontId="5" fillId="2" borderId="0" xfId="5" applyFont="1" applyFill="1" applyAlignment="1">
      <alignment horizontal="left"/>
    </xf>
    <xf numFmtId="169" fontId="5" fillId="2" borderId="25" xfId="7" applyNumberFormat="1" applyFont="1" applyFill="1" applyBorder="1">
      <alignment horizontal="right"/>
    </xf>
    <xf numFmtId="169" fontId="5" fillId="2" borderId="30" xfId="7" applyNumberFormat="1" applyFont="1" applyFill="1" applyBorder="1">
      <alignment horizontal="right"/>
    </xf>
    <xf numFmtId="168" fontId="2" fillId="2" borderId="5" xfId="7" applyFont="1" applyFill="1" applyBorder="1">
      <alignment horizontal="right"/>
    </xf>
    <xf numFmtId="168" fontId="2" fillId="2" borderId="27" xfId="7" applyFont="1" applyFill="1" applyBorder="1">
      <alignment horizontal="right"/>
    </xf>
    <xf numFmtId="168" fontId="2" fillId="2" borderId="22" xfId="7" applyFont="1" applyFill="1" applyBorder="1">
      <alignment horizontal="right"/>
    </xf>
    <xf numFmtId="168" fontId="2" fillId="2" borderId="28" xfId="7" applyFont="1" applyFill="1" applyBorder="1">
      <alignment horizontal="right"/>
    </xf>
    <xf numFmtId="168" fontId="2" fillId="2" borderId="24" xfId="7" applyFont="1" applyFill="1" applyBorder="1">
      <alignment horizontal="right"/>
    </xf>
    <xf numFmtId="168" fontId="2" fillId="2" borderId="29" xfId="7" applyFont="1" applyFill="1" applyBorder="1">
      <alignment horizontal="right"/>
    </xf>
    <xf numFmtId="168" fontId="2" fillId="0" borderId="0" xfId="6" applyNumberFormat="1" applyAlignment="1">
      <alignment horizontal="right"/>
    </xf>
    <xf numFmtId="168" fontId="2" fillId="0" borderId="0" xfId="5" applyNumberFormat="1" applyFont="1" applyAlignment="1">
      <alignment horizontal="right"/>
    </xf>
    <xf numFmtId="172" fontId="2" fillId="0" borderId="0" xfId="6" applyNumberFormat="1" applyAlignment="1">
      <alignment horizontal="right"/>
    </xf>
    <xf numFmtId="172" fontId="2" fillId="0" borderId="0" xfId="5" applyNumberFormat="1" applyFont="1" applyAlignment="1">
      <alignment horizontal="right"/>
    </xf>
    <xf numFmtId="168" fontId="2" fillId="2" borderId="23" xfId="7" applyFont="1" applyFill="1" applyBorder="1">
      <alignment horizontal="right"/>
    </xf>
    <xf numFmtId="0" fontId="5" fillId="2" borderId="13" xfId="5" applyFont="1" applyFill="1" applyBorder="1" applyAlignment="1">
      <alignment horizontal="left"/>
    </xf>
    <xf numFmtId="0" fontId="5" fillId="2" borderId="31" xfId="5" applyFont="1" applyFill="1" applyBorder="1" applyAlignment="1">
      <alignment horizontal="left"/>
    </xf>
    <xf numFmtId="0" fontId="5" fillId="0" borderId="31" xfId="5" applyFont="1" applyBorder="1" applyAlignment="1">
      <alignment horizontal="left"/>
    </xf>
    <xf numFmtId="0" fontId="5" fillId="2" borderId="15" xfId="5" quotePrefix="1" applyFont="1" applyFill="1" applyBorder="1" applyAlignment="1">
      <alignment horizontal="left"/>
    </xf>
    <xf numFmtId="168" fontId="2" fillId="0" borderId="3" xfId="7" applyFont="1" applyFill="1" applyBorder="1">
      <alignment horizontal="right"/>
    </xf>
    <xf numFmtId="168" fontId="2" fillId="0" borderId="26" xfId="7" applyFont="1" applyFill="1" applyBorder="1">
      <alignment horizontal="right"/>
    </xf>
    <xf numFmtId="168" fontId="2" fillId="0" borderId="27" xfId="7" applyFont="1" applyFill="1" applyBorder="1">
      <alignment horizontal="right"/>
    </xf>
    <xf numFmtId="168" fontId="2" fillId="0" borderId="5" xfId="7" applyFont="1" applyFill="1" applyBorder="1">
      <alignment horizontal="right"/>
    </xf>
    <xf numFmtId="168" fontId="2" fillId="2" borderId="5" xfId="7" applyFont="1" applyFill="1" applyBorder="1" applyAlignment="1">
      <alignment horizontal="right" vertical="center"/>
    </xf>
    <xf numFmtId="168" fontId="2" fillId="0" borderId="27" xfId="7" applyFont="1" applyFill="1" applyBorder="1" applyAlignment="1">
      <alignment horizontal="right" vertical="center"/>
    </xf>
    <xf numFmtId="168" fontId="2" fillId="0" borderId="29" xfId="7" applyFont="1" applyFill="1" applyBorder="1">
      <alignment horizontal="right"/>
    </xf>
    <xf numFmtId="168" fontId="2" fillId="2" borderId="3" xfId="7" applyFont="1" applyFill="1" applyBorder="1">
      <alignment horizontal="right"/>
    </xf>
    <xf numFmtId="168" fontId="2" fillId="2" borderId="26" xfId="7" applyFont="1" applyFill="1" applyBorder="1">
      <alignment horizontal="right"/>
    </xf>
    <xf numFmtId="172" fontId="2" fillId="2" borderId="39" xfId="7" applyNumberFormat="1" applyFont="1" applyFill="1" applyBorder="1">
      <alignment horizontal="right"/>
    </xf>
    <xf numFmtId="172" fontId="2" fillId="2" borderId="34" xfId="7" applyNumberFormat="1" applyFont="1" applyFill="1" applyBorder="1">
      <alignment horizontal="right"/>
    </xf>
    <xf numFmtId="172" fontId="2" fillId="2" borderId="40" xfId="7" applyNumberFormat="1" applyFont="1" applyFill="1" applyBorder="1">
      <alignment horizontal="right"/>
    </xf>
    <xf numFmtId="172" fontId="2" fillId="2" borderId="35" xfId="7" applyNumberFormat="1" applyFont="1" applyFill="1" applyBorder="1">
      <alignment horizontal="right"/>
    </xf>
    <xf numFmtId="172" fontId="2" fillId="2" borderId="41" xfId="7" applyNumberFormat="1" applyFont="1" applyFill="1" applyBorder="1">
      <alignment horizontal="right"/>
    </xf>
    <xf numFmtId="172" fontId="2" fillId="2" borderId="36" xfId="7" applyNumberFormat="1" applyFont="1" applyFill="1" applyBorder="1">
      <alignment horizontal="right"/>
    </xf>
    <xf numFmtId="168" fontId="5" fillId="2" borderId="6" xfId="7" applyFont="1" applyFill="1" applyBorder="1">
      <alignment horizontal="right"/>
    </xf>
    <xf numFmtId="168" fontId="2" fillId="2" borderId="6" xfId="7" applyFont="1" applyFill="1" applyBorder="1">
      <alignment horizontal="right"/>
    </xf>
    <xf numFmtId="0" fontId="18" fillId="0" borderId="0" xfId="8" applyFont="1"/>
    <xf numFmtId="0" fontId="5" fillId="0" borderId="0" xfId="0" applyFont="1"/>
    <xf numFmtId="0" fontId="2" fillId="0" borderId="0" xfId="0" applyFont="1"/>
    <xf numFmtId="168" fontId="2" fillId="2" borderId="27" xfId="7" applyFont="1" applyFill="1" applyBorder="1" applyAlignment="1">
      <alignment horizontal="right" vertical="center"/>
    </xf>
    <xf numFmtId="168" fontId="2" fillId="2" borderId="0" xfId="7" applyFont="1" applyFill="1" applyBorder="1">
      <alignment horizontal="right"/>
    </xf>
    <xf numFmtId="172" fontId="2" fillId="2" borderId="3" xfId="7" applyNumberFormat="1" applyFont="1" applyFill="1" applyBorder="1">
      <alignment horizontal="right"/>
    </xf>
    <xf numFmtId="172" fontId="2" fillId="2" borderId="26" xfId="7" applyNumberFormat="1" applyFont="1" applyFill="1" applyBorder="1">
      <alignment horizontal="right"/>
    </xf>
    <xf numFmtId="172" fontId="2" fillId="2" borderId="5" xfId="7" applyNumberFormat="1" applyFont="1" applyFill="1" applyBorder="1">
      <alignment horizontal="right"/>
    </xf>
    <xf numFmtId="172" fontId="2" fillId="2" borderId="27" xfId="7" applyNumberFormat="1" applyFont="1" applyFill="1" applyBorder="1">
      <alignment horizontal="right"/>
    </xf>
    <xf numFmtId="172" fontId="2" fillId="2" borderId="24" xfId="7" applyNumberFormat="1" applyFont="1" applyFill="1" applyBorder="1">
      <alignment horizontal="right"/>
    </xf>
    <xf numFmtId="172" fontId="2" fillId="2" borderId="29" xfId="7" applyNumberFormat="1" applyFont="1" applyFill="1" applyBorder="1">
      <alignment horizontal="right"/>
    </xf>
    <xf numFmtId="172" fontId="2" fillId="0" borderId="3" xfId="7" applyNumberFormat="1" applyFont="1" applyFill="1" applyBorder="1">
      <alignment horizontal="right"/>
    </xf>
    <xf numFmtId="172" fontId="2" fillId="0" borderId="2" xfId="7" applyNumberFormat="1" applyFont="1" applyFill="1" applyBorder="1">
      <alignment horizontal="right"/>
    </xf>
    <xf numFmtId="172" fontId="2" fillId="0" borderId="26" xfId="7" applyNumberFormat="1" applyFont="1" applyFill="1" applyBorder="1">
      <alignment horizontal="right"/>
    </xf>
    <xf numFmtId="172" fontId="2" fillId="0" borderId="5" xfId="7" applyNumberFormat="1" applyFont="1" applyFill="1" applyBorder="1">
      <alignment horizontal="right"/>
    </xf>
    <xf numFmtId="172" fontId="2" fillId="0" borderId="27" xfId="7" applyNumberFormat="1" applyFont="1" applyFill="1" applyBorder="1">
      <alignment horizontal="right"/>
    </xf>
    <xf numFmtId="172" fontId="2" fillId="2" borderId="2" xfId="7" applyNumberFormat="1" applyFont="1" applyFill="1" applyBorder="1">
      <alignment horizontal="right"/>
    </xf>
    <xf numFmtId="172" fontId="2" fillId="2" borderId="5" xfId="7" applyNumberFormat="1" applyFont="1" applyFill="1" applyBorder="1" applyAlignment="1">
      <alignment horizontal="right" vertical="center"/>
    </xf>
    <xf numFmtId="172" fontId="2" fillId="2" borderId="2" xfId="7" applyNumberFormat="1" applyFont="1" applyFill="1" applyBorder="1" applyAlignment="1">
      <alignment horizontal="right" vertical="center"/>
    </xf>
    <xf numFmtId="172" fontId="2" fillId="2" borderId="27" xfId="7" applyNumberFormat="1" applyFont="1" applyFill="1" applyBorder="1" applyAlignment="1">
      <alignment horizontal="right" vertical="center"/>
    </xf>
    <xf numFmtId="172" fontId="2" fillId="2" borderId="22" xfId="7" applyNumberFormat="1" applyFont="1" applyFill="1" applyBorder="1">
      <alignment horizontal="right"/>
    </xf>
    <xf numFmtId="172" fontId="2" fillId="2" borderId="0" xfId="7" applyNumberFormat="1" applyFont="1" applyFill="1" applyBorder="1">
      <alignment horizontal="right"/>
    </xf>
    <xf numFmtId="172" fontId="2" fillId="2" borderId="28" xfId="7" applyNumberFormat="1" applyFont="1" applyFill="1" applyBorder="1">
      <alignment horizontal="right"/>
    </xf>
    <xf numFmtId="172" fontId="2" fillId="2" borderId="23" xfId="7" applyNumberFormat="1" applyFont="1" applyFill="1" applyBorder="1">
      <alignment horizontal="right"/>
    </xf>
    <xf numFmtId="168" fontId="2" fillId="2" borderId="37" xfId="7" applyFont="1" applyFill="1" applyBorder="1">
      <alignment horizontal="right"/>
    </xf>
    <xf numFmtId="168" fontId="2" fillId="2" borderId="38" xfId="7" applyFont="1" applyFill="1" applyBorder="1">
      <alignment horizontal="right"/>
    </xf>
    <xf numFmtId="164" fontId="2" fillId="0" borderId="19" xfId="5" applyNumberFormat="1" applyFont="1" applyBorder="1" applyAlignment="1">
      <alignment horizontal="center" vertical="center"/>
    </xf>
    <xf numFmtId="164" fontId="2" fillId="0" borderId="20" xfId="5" applyNumberFormat="1" applyFont="1" applyBorder="1" applyAlignment="1">
      <alignment horizontal="center" vertical="center"/>
    </xf>
    <xf numFmtId="1" fontId="5" fillId="8" borderId="7" xfId="5" applyNumberFormat="1" applyFont="1" applyFill="1" applyBorder="1" applyAlignment="1">
      <alignment horizontal="center" vertical="center"/>
    </xf>
    <xf numFmtId="1" fontId="5" fillId="8" borderId="1" xfId="5" applyNumberFormat="1" applyFont="1" applyFill="1" applyBorder="1" applyAlignment="1">
      <alignment horizontal="center" vertical="center"/>
    </xf>
    <xf numFmtId="1" fontId="5" fillId="8" borderId="8" xfId="5" applyNumberFormat="1" applyFont="1" applyFill="1" applyBorder="1" applyAlignment="1">
      <alignment horizontal="center" vertical="center"/>
    </xf>
    <xf numFmtId="0" fontId="13" fillId="0" borderId="0" xfId="6" applyFont="1" applyAlignment="1">
      <alignment horizontal="left"/>
    </xf>
    <xf numFmtId="164" fontId="15" fillId="0" borderId="0" xfId="0" applyNumberFormat="1" applyFont="1" applyAlignment="1">
      <alignment horizontal="left" vertical="center"/>
    </xf>
    <xf numFmtId="10" fontId="5" fillId="0" borderId="0" xfId="3" applyNumberFormat="1" applyFont="1" applyFill="1" applyBorder="1" applyAlignment="1">
      <alignment horizontal="right"/>
    </xf>
  </cellXfs>
  <cellStyles count="9">
    <cellStyle name="Comma 2" xfId="1" xr:uid="{00000000-0005-0000-0000-000000000000}"/>
    <cellStyle name="Hyperlink" xfId="8" builtinId="8"/>
    <cellStyle name="Normal" xfId="0" builtinId="0"/>
    <cellStyle name="Normal 13" xfId="6" xr:uid="{1B6322AA-11C9-4EA3-ACC7-0FB709D06AB0}"/>
    <cellStyle name="Normal 2" xfId="2" xr:uid="{00000000-0005-0000-0000-000002000000}"/>
    <cellStyle name="Normal 3" xfId="5" xr:uid="{56012F6C-589E-447B-817D-AC7E78FAF5DB}"/>
    <cellStyle name="NumberCellStyle" xfId="7" xr:uid="{A493D68C-E49F-462A-85DF-4ACD74E22C00}"/>
    <cellStyle name="Percent" xfId="3" builtinId="5"/>
    <cellStyle name="Percent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695740365111561E-2"/>
          <c:y val="6.0133630289532294E-2"/>
          <c:w val="0.93509127789046653"/>
          <c:h val="0.81291759465478841"/>
        </c:manualLayout>
      </c:layout>
      <c:lineChart>
        <c:grouping val="standard"/>
        <c:varyColors val="0"/>
        <c:ser>
          <c:idx val="0"/>
          <c:order val="0"/>
          <c:tx>
            <c:strRef>
              <c:f>Figure1!$A$43</c:f>
              <c:strCache>
                <c:ptCount val="1"/>
                <c:pt idx="0">
                  <c:v>EU</c:v>
                </c:pt>
              </c:strCache>
            </c:strRef>
          </c:tx>
          <c:spPr>
            <a:ln w="28575" cap="rnd" cmpd="sng" algn="ctr">
              <a:solidFill>
                <a:srgbClr val="2644A7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square"/>
            <c:size val="5"/>
            <c:spPr>
              <a:solidFill>
                <a:srgbClr val="2644A7"/>
              </a:solidFill>
              <a:ln w="28575">
                <a:solidFill>
                  <a:srgbClr val="2644A7"/>
                </a:solidFill>
                <a:prstDash val="solid"/>
              </a:ln>
            </c:spPr>
          </c:marker>
          <c:cat>
            <c:numRef>
              <c:f>Figure1!$B$42:$K$42</c:f>
              <c:numCache>
                <c:formatCode>###0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Figure1!$B$43:$K$43</c:f>
              <c:numCache>
                <c:formatCode>#,##0.0</c:formatCode>
                <c:ptCount val="10"/>
                <c:pt idx="0">
                  <c:v>365.59023699999995</c:v>
                </c:pt>
                <c:pt idx="1">
                  <c:v>374.36984399999994</c:v>
                </c:pt>
                <c:pt idx="2">
                  <c:v>381.10581000000002</c:v>
                </c:pt>
                <c:pt idx="3">
                  <c:v>387.18239300000005</c:v>
                </c:pt>
                <c:pt idx="4">
                  <c:v>399.96201799999989</c:v>
                </c:pt>
                <c:pt idx="5">
                  <c:v>213.56168400000001</c:v>
                </c:pt>
                <c:pt idx="6">
                  <c:v>248.42748299999997</c:v>
                </c:pt>
                <c:pt idx="7">
                  <c:v>376.0051820000001</c:v>
                </c:pt>
                <c:pt idx="8">
                  <c:v>418.55492800000013</c:v>
                </c:pt>
                <c:pt idx="9">
                  <c:v>442.90256500000004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B4-4420-B206-5467D8BFD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484528"/>
        <c:axId val="407484920"/>
      </c:lineChart>
      <c:catAx>
        <c:axId val="407484528"/>
        <c:scaling>
          <c:orientation val="minMax"/>
        </c:scaling>
        <c:delete val="0"/>
        <c:axPos val="b"/>
        <c:numFmt formatCode="#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4074849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484920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4074845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200" verticalDpi="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42715622381274E-2"/>
          <c:y val="0.22404286896813272"/>
          <c:w val="0.89465407546182873"/>
          <c:h val="0.5810793056284102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E1D3CC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A53C-4F41-AE4A-9DB7206730D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A53C-4F41-AE4A-9DB7206730D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A53C-4F41-AE4A-9DB7206730D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A53C-4F41-AE4A-9DB7206730D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A53C-4F41-AE4A-9DB7206730D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A53C-4F41-AE4A-9DB7206730D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A53C-4F41-AE4A-9DB7206730D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F-A53C-4F41-AE4A-9DB7206730D9}"/>
              </c:ext>
            </c:extLst>
          </c:dPt>
          <c:cat>
            <c:strRef>
              <c:f>Figure1!$AD$42:$AG$42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Figure1!$AD$43:$AG$43</c:f>
              <c:numCache>
                <c:formatCode>#,##0.0</c:formatCode>
                <c:ptCount val="4"/>
                <c:pt idx="0">
                  <c:v>9.5539425358403207</c:v>
                </c:pt>
                <c:pt idx="1">
                  <c:v>7.2474313372857591</c:v>
                </c:pt>
                <c:pt idx="2">
                  <c:v>2.5866984551310201</c:v>
                </c:pt>
                <c:pt idx="3">
                  <c:v>4.8197056107775138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53C-4F41-AE4A-9DB720673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486488"/>
        <c:axId val="638302760"/>
      </c:barChart>
      <c:catAx>
        <c:axId val="407486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38302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38302760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40748648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649214659685861E-2"/>
          <c:y val="0.10638297872340426"/>
          <c:w val="0.84816753926701571"/>
          <c:h val="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0172085349078034E-2"/>
                  <c:y val="-0.13032816894042112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FF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+5.8%</a:t>
                    </a:r>
                  </a:p>
                </c:rich>
              </c:tx>
              <c:numFmt formatCode="\+0.0&quot; &quot;%;\-0.0&quot; &quot;%" sourceLinked="0"/>
              <c:spPr>
                <a:noFill/>
                <a:ln w="25400"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570192996285362"/>
                      <c:h val="0.39597925660099531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0-8B45-4A4F-88B1-FC1E0A178717}"/>
                </c:ext>
              </c:extLst>
            </c:dLbl>
            <c:numFmt formatCode="\+0.0&quot; &quot;%;\+0.0&quot; &quot;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Figure1!$K$44</c:f>
              <c:numCache>
                <c:formatCode>0.0%</c:formatCode>
                <c:ptCount val="1"/>
                <c:pt idx="0">
                  <c:v>5.8170709197813864E-2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45-4A4F-88B1-FC1E0A178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299624"/>
        <c:axId val="638303544"/>
      </c:scatterChart>
      <c:valAx>
        <c:axId val="638299624"/>
        <c:scaling>
          <c:orientation val="minMax"/>
        </c:scaling>
        <c:delete val="1"/>
        <c:axPos val="b"/>
        <c:majorTickMark val="out"/>
        <c:minorTickMark val="none"/>
        <c:tickLblPos val="nextTo"/>
        <c:crossAx val="638303544"/>
        <c:crosses val="autoZero"/>
        <c:crossBetween val="midCat"/>
      </c:valAx>
      <c:valAx>
        <c:axId val="638303544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63829962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Rail passenger transport for main undertakings, EU, 2015-2024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(billion passenger-kilometres)</a:t>
            </a:r>
          </a:p>
        </c:rich>
      </c:tx>
      <c:layout>
        <c:manualLayout>
          <c:xMode val="edge"/>
          <c:yMode val="edge"/>
          <c:x val="4.7365304914150381E-3"/>
          <c:y val="1.0368268348326923E-2"/>
        </c:manualLayout>
      </c:layout>
      <c:overlay val="0"/>
    </c:title>
    <c:autoTitleDeleted val="0"/>
    <c:plotArea>
      <c:layout>
        <c:manualLayout>
          <c:xMode val="edge"/>
          <c:yMode val="edge"/>
          <c:x val="4.7365304914150381E-3"/>
          <c:y val="1.0368268348326923E-2"/>
          <c:w val="0"/>
          <c:h val="0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Figure1!$A$1:$A$2</c:f>
              <c:strCache>
                <c:ptCount val="2"/>
                <c:pt idx="0">
                  <c:v>Figure 1: Rail passenger transport for main undertakings, EU, 2015-2024</c:v>
                </c:pt>
                <c:pt idx="1">
                  <c:v>(billion passenger-kilometres)</c:v>
                </c:pt>
              </c:strCache>
            </c:strRef>
          </c:cat>
          <c:val>
            <c:numRef>
              <c:f>Figure1!$B$1:$B$2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8B4E-4D53-B4DE-6A9B5352C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864495"/>
        <c:axId val="1002872655"/>
      </c:barChart>
      <c:catAx>
        <c:axId val="1002864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2872655"/>
        <c:crosses val="autoZero"/>
        <c:auto val="1"/>
        <c:lblAlgn val="ctr"/>
        <c:lblOffset val="100"/>
        <c:noMultiLvlLbl val="0"/>
      </c:catAx>
      <c:valAx>
        <c:axId val="100287265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0286449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910131233595796E-2"/>
          <c:y val="3.983387911834331E-2"/>
          <c:w val="0.89572493483428328"/>
          <c:h val="0.550333784099739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Figure2!$C$7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Figure2!$B$8:$B$40</c:f>
              <c:strCache>
                <c:ptCount val="33"/>
                <c:pt idx="0">
                  <c:v>Germany</c:v>
                </c:pt>
                <c:pt idx="1">
                  <c:v>France</c:v>
                </c:pt>
                <c:pt idx="2">
                  <c:v>Italy</c:v>
                </c:pt>
                <c:pt idx="3">
                  <c:v>Spain</c:v>
                </c:pt>
                <c:pt idx="4">
                  <c:v>Poland</c:v>
                </c:pt>
                <c:pt idx="5">
                  <c:v>Netherlands (¹)</c:v>
                </c:pt>
                <c:pt idx="6">
                  <c:v>Hungary (²)</c:v>
                </c:pt>
                <c:pt idx="7">
                  <c:v>Austria</c:v>
                </c:pt>
                <c:pt idx="8">
                  <c:v>Sweden</c:v>
                </c:pt>
                <c:pt idx="9">
                  <c:v>Czechia</c:v>
                </c:pt>
                <c:pt idx="10">
                  <c:v>Denmark</c:v>
                </c:pt>
                <c:pt idx="11">
                  <c:v>Romania</c:v>
                </c:pt>
                <c:pt idx="12">
                  <c:v>Portugal</c:v>
                </c:pt>
                <c:pt idx="13">
                  <c:v>Finland</c:v>
                </c:pt>
                <c:pt idx="14">
                  <c:v>Slovakia</c:v>
                </c:pt>
                <c:pt idx="15">
                  <c:v>Ireland</c:v>
                </c:pt>
                <c:pt idx="16">
                  <c:v>Bulgaria</c:v>
                </c:pt>
                <c:pt idx="17">
                  <c:v>Croatia</c:v>
                </c:pt>
                <c:pt idx="18">
                  <c:v>Slovenia</c:v>
                </c:pt>
                <c:pt idx="19">
                  <c:v>Greece</c:v>
                </c:pt>
                <c:pt idx="20">
                  <c:v>Latvia</c:v>
                </c:pt>
                <c:pt idx="21">
                  <c:v>Luxembourg</c:v>
                </c:pt>
                <c:pt idx="22">
                  <c:v>Lithuania</c:v>
                </c:pt>
                <c:pt idx="23">
                  <c:v>Estonia</c:v>
                </c:pt>
                <c:pt idx="25">
                  <c:v>Switzerland</c:v>
                </c:pt>
                <c:pt idx="26">
                  <c:v>Norway</c:v>
                </c:pt>
                <c:pt idx="28">
                  <c:v>Türkiye</c:v>
                </c:pt>
                <c:pt idx="29">
                  <c:v>Serbia (³)</c:v>
                </c:pt>
                <c:pt idx="30">
                  <c:v>Montenegro (³)</c:v>
                </c:pt>
                <c:pt idx="31">
                  <c:v>North Macedonia</c:v>
                </c:pt>
                <c:pt idx="32">
                  <c:v>Bosnia and Herzegovina (³)</c:v>
                </c:pt>
              </c:strCache>
            </c:strRef>
          </c:cat>
          <c:val>
            <c:numRef>
              <c:f>Figure2!$C$8:$C$40</c:f>
              <c:numCache>
                <c:formatCode>#,##0.00_i</c:formatCode>
                <c:ptCount val="33"/>
                <c:pt idx="0">
                  <c:v>92.312821999999997</c:v>
                </c:pt>
                <c:pt idx="1">
                  <c:v>95.634676999999996</c:v>
                </c:pt>
                <c:pt idx="2">
                  <c:v>46.142527000000001</c:v>
                </c:pt>
                <c:pt idx="3">
                  <c:v>27.489416000000002</c:v>
                </c:pt>
                <c:pt idx="4">
                  <c:v>23.646393</c:v>
                </c:pt>
                <c:pt idx="5">
                  <c:v>17.105015999999999</c:v>
                </c:pt>
                <c:pt idx="6">
                  <c:v>7.8169399999999998</c:v>
                </c:pt>
                <c:pt idx="7">
                  <c:v>12.371291999999999</c:v>
                </c:pt>
                <c:pt idx="8">
                  <c:v>12.879</c:v>
                </c:pt>
                <c:pt idx="9">
                  <c:v>9.3938299999999995</c:v>
                </c:pt>
                <c:pt idx="10">
                  <c:v>5.8224460000000002</c:v>
                </c:pt>
                <c:pt idx="11">
                  <c:v>5.6163909999999992</c:v>
                </c:pt>
                <c:pt idx="12">
                  <c:v>4.4193540000000002</c:v>
                </c:pt>
                <c:pt idx="13">
                  <c:v>4.5723580000000004</c:v>
                </c:pt>
                <c:pt idx="14">
                  <c:v>3.1675169999999997</c:v>
                </c:pt>
                <c:pt idx="15">
                  <c:v>1.7481279999999999</c:v>
                </c:pt>
                <c:pt idx="16">
                  <c:v>1.5997110000000001</c:v>
                </c:pt>
                <c:pt idx="17">
                  <c:v>0.81227400000000005</c:v>
                </c:pt>
                <c:pt idx="18">
                  <c:v>0.64460799999999996</c:v>
                </c:pt>
                <c:pt idx="19">
                  <c:v>1.1169559999999998</c:v>
                </c:pt>
                <c:pt idx="20">
                  <c:v>0.54050300000000007</c:v>
                </c:pt>
                <c:pt idx="21">
                  <c:v>0.38877999999999996</c:v>
                </c:pt>
                <c:pt idx="22">
                  <c:v>0.38183699999999998</c:v>
                </c:pt>
                <c:pt idx="23">
                  <c:v>0.38240600000000002</c:v>
                </c:pt>
                <c:pt idx="25">
                  <c:v>13.320862</c:v>
                </c:pt>
                <c:pt idx="26">
                  <c:v>1.7803450000000001</c:v>
                </c:pt>
                <c:pt idx="28">
                  <c:v>5.9221130000000004</c:v>
                </c:pt>
                <c:pt idx="29">
                  <c:v>0</c:v>
                </c:pt>
                <c:pt idx="30">
                  <c:v>5.1343000000000007E-2</c:v>
                </c:pt>
                <c:pt idx="31">
                  <c:v>4.5922999999999999E-2</c:v>
                </c:pt>
                <c:pt idx="32">
                  <c:v>3.1391999999999996E-2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0-48E9-8485-63B1D734E2B1}"/>
            </c:ext>
          </c:extLst>
        </c:ser>
        <c:ser>
          <c:idx val="1"/>
          <c:order val="1"/>
          <c:tx>
            <c:strRef>
              <c:f>Figure2!$D$7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Figure2!$B$8:$B$40</c:f>
              <c:strCache>
                <c:ptCount val="33"/>
                <c:pt idx="0">
                  <c:v>Germany</c:v>
                </c:pt>
                <c:pt idx="1">
                  <c:v>France</c:v>
                </c:pt>
                <c:pt idx="2">
                  <c:v>Italy</c:v>
                </c:pt>
                <c:pt idx="3">
                  <c:v>Spain</c:v>
                </c:pt>
                <c:pt idx="4">
                  <c:v>Poland</c:v>
                </c:pt>
                <c:pt idx="5">
                  <c:v>Netherlands (¹)</c:v>
                </c:pt>
                <c:pt idx="6">
                  <c:v>Hungary (²)</c:v>
                </c:pt>
                <c:pt idx="7">
                  <c:v>Austria</c:v>
                </c:pt>
                <c:pt idx="8">
                  <c:v>Sweden</c:v>
                </c:pt>
                <c:pt idx="9">
                  <c:v>Czechia</c:v>
                </c:pt>
                <c:pt idx="10">
                  <c:v>Denmark</c:v>
                </c:pt>
                <c:pt idx="11">
                  <c:v>Romania</c:v>
                </c:pt>
                <c:pt idx="12">
                  <c:v>Portugal</c:v>
                </c:pt>
                <c:pt idx="13">
                  <c:v>Finland</c:v>
                </c:pt>
                <c:pt idx="14">
                  <c:v>Slovakia</c:v>
                </c:pt>
                <c:pt idx="15">
                  <c:v>Ireland</c:v>
                </c:pt>
                <c:pt idx="16">
                  <c:v>Bulgaria</c:v>
                </c:pt>
                <c:pt idx="17">
                  <c:v>Croatia</c:v>
                </c:pt>
                <c:pt idx="18">
                  <c:v>Slovenia</c:v>
                </c:pt>
                <c:pt idx="19">
                  <c:v>Greece</c:v>
                </c:pt>
                <c:pt idx="20">
                  <c:v>Latvia</c:v>
                </c:pt>
                <c:pt idx="21">
                  <c:v>Luxembourg</c:v>
                </c:pt>
                <c:pt idx="22">
                  <c:v>Lithuania</c:v>
                </c:pt>
                <c:pt idx="23">
                  <c:v>Estonia</c:v>
                </c:pt>
                <c:pt idx="25">
                  <c:v>Switzerland</c:v>
                </c:pt>
                <c:pt idx="26">
                  <c:v>Norway</c:v>
                </c:pt>
                <c:pt idx="28">
                  <c:v>Türkiye</c:v>
                </c:pt>
                <c:pt idx="29">
                  <c:v>Serbia (³)</c:v>
                </c:pt>
                <c:pt idx="30">
                  <c:v>Montenegro (³)</c:v>
                </c:pt>
                <c:pt idx="31">
                  <c:v>North Macedonia</c:v>
                </c:pt>
                <c:pt idx="32">
                  <c:v>Bosnia and Herzegovina (³)</c:v>
                </c:pt>
              </c:strCache>
            </c:strRef>
          </c:cat>
          <c:val>
            <c:numRef>
              <c:f>Figure2!$D$8:$D$40</c:f>
              <c:numCache>
                <c:formatCode>#,##0.00_i</c:formatCode>
                <c:ptCount val="33"/>
                <c:pt idx="0">
                  <c:v>101.40775599999999</c:v>
                </c:pt>
                <c:pt idx="1">
                  <c:v>101.316388</c:v>
                </c:pt>
                <c:pt idx="2">
                  <c:v>54.790779999999998</c:v>
                </c:pt>
                <c:pt idx="3">
                  <c:v>34.632049000000002</c:v>
                </c:pt>
                <c:pt idx="4">
                  <c:v>25.604617999999999</c:v>
                </c:pt>
                <c:pt idx="5">
                  <c:v>19.195423999999999</c:v>
                </c:pt>
                <c:pt idx="6">
                  <c:v>10.403352999999999</c:v>
                </c:pt>
                <c:pt idx="7">
                  <c:v>14.018769000000001</c:v>
                </c:pt>
                <c:pt idx="8">
                  <c:v>13.308</c:v>
                </c:pt>
                <c:pt idx="9">
                  <c:v>9.9963510000000007</c:v>
                </c:pt>
                <c:pt idx="10">
                  <c:v>6.0310100000000002</c:v>
                </c:pt>
                <c:pt idx="11">
                  <c:v>5.9784930000000003</c:v>
                </c:pt>
                <c:pt idx="12">
                  <c:v>4.8290680000000004</c:v>
                </c:pt>
                <c:pt idx="13">
                  <c:v>5.1986989999999995</c:v>
                </c:pt>
                <c:pt idx="14">
                  <c:v>3.542986</c:v>
                </c:pt>
                <c:pt idx="15">
                  <c:v>2.235255</c:v>
                </c:pt>
                <c:pt idx="16">
                  <c:v>1.5916199999999998</c:v>
                </c:pt>
                <c:pt idx="17">
                  <c:v>1.142442</c:v>
                </c:pt>
                <c:pt idx="18">
                  <c:v>0.74177099999999996</c:v>
                </c:pt>
                <c:pt idx="19">
                  <c:v>0.67339899999999997</c:v>
                </c:pt>
                <c:pt idx="20">
                  <c:v>0.61203300000000005</c:v>
                </c:pt>
                <c:pt idx="21">
                  <c:v>0.50505</c:v>
                </c:pt>
                <c:pt idx="22">
                  <c:v>0.39151600000000003</c:v>
                </c:pt>
                <c:pt idx="23">
                  <c:v>0.40809800000000002</c:v>
                </c:pt>
                <c:pt idx="25">
                  <c:v>18.022231999999999</c:v>
                </c:pt>
                <c:pt idx="26">
                  <c:v>3.0794000000000001</c:v>
                </c:pt>
                <c:pt idx="28">
                  <c:v>6.2446130000000002</c:v>
                </c:pt>
                <c:pt idx="29">
                  <c:v>0.52800000000000002</c:v>
                </c:pt>
                <c:pt idx="30">
                  <c:v>6.7852999999999997E-2</c:v>
                </c:pt>
                <c:pt idx="31">
                  <c:v>3.2267999999999998E-2</c:v>
                </c:pt>
                <c:pt idx="32">
                  <c:v>3.3676000000000005E-2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50-48E9-8485-63B1D734E2B1}"/>
            </c:ext>
          </c:extLst>
        </c:ser>
        <c:ser>
          <c:idx val="2"/>
          <c:order val="2"/>
          <c:tx>
            <c:strRef>
              <c:f>Figure2!$E$7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Figure2!$B$8:$B$40</c:f>
              <c:strCache>
                <c:ptCount val="33"/>
                <c:pt idx="0">
                  <c:v>Germany</c:v>
                </c:pt>
                <c:pt idx="1">
                  <c:v>France</c:v>
                </c:pt>
                <c:pt idx="2">
                  <c:v>Italy</c:v>
                </c:pt>
                <c:pt idx="3">
                  <c:v>Spain</c:v>
                </c:pt>
                <c:pt idx="4">
                  <c:v>Poland</c:v>
                </c:pt>
                <c:pt idx="5">
                  <c:v>Netherlands (¹)</c:v>
                </c:pt>
                <c:pt idx="6">
                  <c:v>Hungary (²)</c:v>
                </c:pt>
                <c:pt idx="7">
                  <c:v>Austria</c:v>
                </c:pt>
                <c:pt idx="8">
                  <c:v>Sweden</c:v>
                </c:pt>
                <c:pt idx="9">
                  <c:v>Czechia</c:v>
                </c:pt>
                <c:pt idx="10">
                  <c:v>Denmark</c:v>
                </c:pt>
                <c:pt idx="11">
                  <c:v>Romania</c:v>
                </c:pt>
                <c:pt idx="12">
                  <c:v>Portugal</c:v>
                </c:pt>
                <c:pt idx="13">
                  <c:v>Finland</c:v>
                </c:pt>
                <c:pt idx="14">
                  <c:v>Slovakia</c:v>
                </c:pt>
                <c:pt idx="15">
                  <c:v>Ireland</c:v>
                </c:pt>
                <c:pt idx="16">
                  <c:v>Bulgaria</c:v>
                </c:pt>
                <c:pt idx="17">
                  <c:v>Croatia</c:v>
                </c:pt>
                <c:pt idx="18">
                  <c:v>Slovenia</c:v>
                </c:pt>
                <c:pt idx="19">
                  <c:v>Greece</c:v>
                </c:pt>
                <c:pt idx="20">
                  <c:v>Latvia</c:v>
                </c:pt>
                <c:pt idx="21">
                  <c:v>Luxembourg</c:v>
                </c:pt>
                <c:pt idx="22">
                  <c:v>Lithuania</c:v>
                </c:pt>
                <c:pt idx="23">
                  <c:v>Estonia</c:v>
                </c:pt>
                <c:pt idx="25">
                  <c:v>Switzerland</c:v>
                </c:pt>
                <c:pt idx="26">
                  <c:v>Norway</c:v>
                </c:pt>
                <c:pt idx="28">
                  <c:v>Türkiye</c:v>
                </c:pt>
                <c:pt idx="29">
                  <c:v>Serbia (³)</c:v>
                </c:pt>
                <c:pt idx="30">
                  <c:v>Montenegro (³)</c:v>
                </c:pt>
                <c:pt idx="31">
                  <c:v>North Macedonia</c:v>
                </c:pt>
                <c:pt idx="32">
                  <c:v>Bosnia and Herzegovina (³)</c:v>
                </c:pt>
              </c:strCache>
            </c:strRef>
          </c:cat>
          <c:val>
            <c:numRef>
              <c:f>Figure2!$E$8:$E$40</c:f>
              <c:numCache>
                <c:formatCode>#,##0.00_i</c:formatCode>
                <c:ptCount val="33"/>
                <c:pt idx="0">
                  <c:v>107.562378</c:v>
                </c:pt>
                <c:pt idx="1">
                  <c:v>107.34578999999999</c:v>
                </c:pt>
                <c:pt idx="2">
                  <c:v>55.872143999999999</c:v>
                </c:pt>
                <c:pt idx="3">
                  <c:v>38.038499000000002</c:v>
                </c:pt>
                <c:pt idx="4">
                  <c:v>28.214547</c:v>
                </c:pt>
                <c:pt idx="5">
                  <c:v>17.018532</c:v>
                </c:pt>
                <c:pt idx="6">
                  <c:v>15.00558</c:v>
                </c:pt>
                <c:pt idx="7">
                  <c:v>14.399297000000001</c:v>
                </c:pt>
                <c:pt idx="8">
                  <c:v>13.625999999999999</c:v>
                </c:pt>
                <c:pt idx="9">
                  <c:v>10.294120000000001</c:v>
                </c:pt>
                <c:pt idx="10">
                  <c:v>6.4814570000000007</c:v>
                </c:pt>
                <c:pt idx="11">
                  <c:v>5.7647240000000002</c:v>
                </c:pt>
                <c:pt idx="12">
                  <c:v>5.4465659999999998</c:v>
                </c:pt>
                <c:pt idx="13">
                  <c:v>5.4359999999999999</c:v>
                </c:pt>
                <c:pt idx="14">
                  <c:v>3.5712289999999998</c:v>
                </c:pt>
                <c:pt idx="15">
                  <c:v>2.485992</c:v>
                </c:pt>
                <c:pt idx="16">
                  <c:v>1.497943</c:v>
                </c:pt>
                <c:pt idx="17">
                  <c:v>1.1480680000000001</c:v>
                </c:pt>
                <c:pt idx="18">
                  <c:v>0.88644899999999993</c:v>
                </c:pt>
                <c:pt idx="19">
                  <c:v>0.72701400000000005</c:v>
                </c:pt>
                <c:pt idx="20">
                  <c:v>0.69847300000000001</c:v>
                </c:pt>
                <c:pt idx="21">
                  <c:v>0.55552099999999993</c:v>
                </c:pt>
                <c:pt idx="22">
                  <c:v>0.44148799999999999</c:v>
                </c:pt>
                <c:pt idx="23">
                  <c:v>0.38475400000000004</c:v>
                </c:pt>
                <c:pt idx="25">
                  <c:v>21.355962999999999</c:v>
                </c:pt>
                <c:pt idx="26">
                  <c:v>3.8761139999999998</c:v>
                </c:pt>
                <c:pt idx="28">
                  <c:v>6.2725069999999992</c:v>
                </c:pt>
                <c:pt idx="29">
                  <c:v>0.58499999999999996</c:v>
                </c:pt>
                <c:pt idx="30">
                  <c:v>6.9105E-2</c:v>
                </c:pt>
                <c:pt idx="31">
                  <c:v>2.6376999999999998E-2</c:v>
                </c:pt>
                <c:pt idx="32">
                  <c:v>3.0303E-2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50-48E9-8485-63B1D734E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558619808"/>
        <c:axId val="558623416"/>
      </c:barChart>
      <c:catAx>
        <c:axId val="55861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8623416"/>
        <c:crosses val="autoZero"/>
        <c:auto val="1"/>
        <c:lblAlgn val="ctr"/>
        <c:lblOffset val="100"/>
        <c:tickMarkSkip val="1"/>
        <c:noMultiLvlLbl val="0"/>
      </c:catAx>
      <c:valAx>
        <c:axId val="558623416"/>
        <c:scaling>
          <c:orientation val="minMax"/>
          <c:max val="120"/>
          <c:min val="0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861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1629126430581"/>
          <c:y val="3.983387911834331E-2"/>
          <c:w val="0.87687419435889291"/>
          <c:h val="0.550333784099739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Figure2!$C$7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Figure2!$B$24:$B$31</c:f>
              <c:strCache>
                <c:ptCount val="8"/>
                <c:pt idx="0">
                  <c:v>Bulgaria</c:v>
                </c:pt>
                <c:pt idx="1">
                  <c:v>Croatia</c:v>
                </c:pt>
                <c:pt idx="2">
                  <c:v>Slovenia</c:v>
                </c:pt>
                <c:pt idx="3">
                  <c:v>Greece</c:v>
                </c:pt>
                <c:pt idx="4">
                  <c:v>Latvia</c:v>
                </c:pt>
                <c:pt idx="5">
                  <c:v>Luxembourg</c:v>
                </c:pt>
                <c:pt idx="6">
                  <c:v>Lithuania</c:v>
                </c:pt>
                <c:pt idx="7">
                  <c:v>Estonia</c:v>
                </c:pt>
              </c:strCache>
            </c:strRef>
          </c:cat>
          <c:val>
            <c:numRef>
              <c:f>Figure2!$C$24:$C$31</c:f>
              <c:numCache>
                <c:formatCode>#,##0.00_i</c:formatCode>
                <c:ptCount val="8"/>
                <c:pt idx="0">
                  <c:v>1.5997110000000001</c:v>
                </c:pt>
                <c:pt idx="1">
                  <c:v>0.81227400000000005</c:v>
                </c:pt>
                <c:pt idx="2">
                  <c:v>0.64460799999999996</c:v>
                </c:pt>
                <c:pt idx="3">
                  <c:v>1.1169559999999998</c:v>
                </c:pt>
                <c:pt idx="4">
                  <c:v>0.54050300000000007</c:v>
                </c:pt>
                <c:pt idx="5">
                  <c:v>0.38877999999999996</c:v>
                </c:pt>
                <c:pt idx="6">
                  <c:v>0.38183699999999998</c:v>
                </c:pt>
                <c:pt idx="7">
                  <c:v>0.38240600000000002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1-40F4-981D-0FB68E3423ED}"/>
            </c:ext>
          </c:extLst>
        </c:ser>
        <c:ser>
          <c:idx val="1"/>
          <c:order val="1"/>
          <c:tx>
            <c:strRef>
              <c:f>Figure2!$D$7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Figure2!$B$24:$B$31</c:f>
              <c:strCache>
                <c:ptCount val="8"/>
                <c:pt idx="0">
                  <c:v>Bulgaria</c:v>
                </c:pt>
                <c:pt idx="1">
                  <c:v>Croatia</c:v>
                </c:pt>
                <c:pt idx="2">
                  <c:v>Slovenia</c:v>
                </c:pt>
                <c:pt idx="3">
                  <c:v>Greece</c:v>
                </c:pt>
                <c:pt idx="4">
                  <c:v>Latvia</c:v>
                </c:pt>
                <c:pt idx="5">
                  <c:v>Luxembourg</c:v>
                </c:pt>
                <c:pt idx="6">
                  <c:v>Lithuania</c:v>
                </c:pt>
                <c:pt idx="7">
                  <c:v>Estonia</c:v>
                </c:pt>
              </c:strCache>
            </c:strRef>
          </c:cat>
          <c:val>
            <c:numRef>
              <c:f>Figure2!$D$24:$D$31</c:f>
              <c:numCache>
                <c:formatCode>#,##0.00_i</c:formatCode>
                <c:ptCount val="8"/>
                <c:pt idx="0">
                  <c:v>1.5916199999999998</c:v>
                </c:pt>
                <c:pt idx="1">
                  <c:v>1.142442</c:v>
                </c:pt>
                <c:pt idx="2">
                  <c:v>0.74177099999999996</c:v>
                </c:pt>
                <c:pt idx="3">
                  <c:v>0.67339899999999997</c:v>
                </c:pt>
                <c:pt idx="4">
                  <c:v>0.61203300000000005</c:v>
                </c:pt>
                <c:pt idx="5">
                  <c:v>0.50505</c:v>
                </c:pt>
                <c:pt idx="6">
                  <c:v>0.39151600000000003</c:v>
                </c:pt>
                <c:pt idx="7">
                  <c:v>0.40809800000000002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D1-40F4-981D-0FB68E3423ED}"/>
            </c:ext>
          </c:extLst>
        </c:ser>
        <c:ser>
          <c:idx val="2"/>
          <c:order val="2"/>
          <c:tx>
            <c:strRef>
              <c:f>Figure2!$E$7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Figure2!$B$24:$B$31</c:f>
              <c:strCache>
                <c:ptCount val="8"/>
                <c:pt idx="0">
                  <c:v>Bulgaria</c:v>
                </c:pt>
                <c:pt idx="1">
                  <c:v>Croatia</c:v>
                </c:pt>
                <c:pt idx="2">
                  <c:v>Slovenia</c:v>
                </c:pt>
                <c:pt idx="3">
                  <c:v>Greece</c:v>
                </c:pt>
                <c:pt idx="4">
                  <c:v>Latvia</c:v>
                </c:pt>
                <c:pt idx="5">
                  <c:v>Luxembourg</c:v>
                </c:pt>
                <c:pt idx="6">
                  <c:v>Lithuania</c:v>
                </c:pt>
                <c:pt idx="7">
                  <c:v>Estonia</c:v>
                </c:pt>
              </c:strCache>
            </c:strRef>
          </c:cat>
          <c:val>
            <c:numRef>
              <c:f>Figure2!$E$24:$E$31</c:f>
              <c:numCache>
                <c:formatCode>#,##0.00_i</c:formatCode>
                <c:ptCount val="8"/>
                <c:pt idx="0">
                  <c:v>1.497943</c:v>
                </c:pt>
                <c:pt idx="1">
                  <c:v>1.1480680000000001</c:v>
                </c:pt>
                <c:pt idx="2">
                  <c:v>0.88644899999999993</c:v>
                </c:pt>
                <c:pt idx="3">
                  <c:v>0.72701400000000005</c:v>
                </c:pt>
                <c:pt idx="4">
                  <c:v>0.69847300000000001</c:v>
                </c:pt>
                <c:pt idx="5">
                  <c:v>0.55552099999999993</c:v>
                </c:pt>
                <c:pt idx="6">
                  <c:v>0.44148799999999999</c:v>
                </c:pt>
                <c:pt idx="7">
                  <c:v>0.38475400000000004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D1-40F4-981D-0FB68E342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558619808"/>
        <c:axId val="558623416"/>
      </c:barChart>
      <c:catAx>
        <c:axId val="55861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8623416"/>
        <c:crosses val="autoZero"/>
        <c:auto val="1"/>
        <c:lblAlgn val="ctr"/>
        <c:lblOffset val="100"/>
        <c:tickMarkSkip val="1"/>
        <c:noMultiLvlLbl val="0"/>
      </c:catAx>
      <c:valAx>
        <c:axId val="55862341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861980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910131233595796E-2"/>
          <c:y val="3.983387911834331E-2"/>
          <c:w val="0.61563978921239493"/>
          <c:h val="0.550333784099739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Figure2!$C$7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Figure2!$B$37:$B$40</c:f>
              <c:strCache>
                <c:ptCount val="4"/>
                <c:pt idx="0">
                  <c:v>Serbia (³)</c:v>
                </c:pt>
                <c:pt idx="1">
                  <c:v>Montenegro (³)</c:v>
                </c:pt>
                <c:pt idx="2">
                  <c:v>North Macedonia</c:v>
                </c:pt>
                <c:pt idx="3">
                  <c:v>Bosnia and Herzegovina (³)</c:v>
                </c:pt>
              </c:strCache>
            </c:strRef>
          </c:cat>
          <c:val>
            <c:numRef>
              <c:f>Figure2!$C$37:$C$40</c:f>
              <c:numCache>
                <c:formatCode>#,##0.00_i</c:formatCode>
                <c:ptCount val="4"/>
                <c:pt idx="0">
                  <c:v>0</c:v>
                </c:pt>
                <c:pt idx="1">
                  <c:v>5.1343000000000007E-2</c:v>
                </c:pt>
                <c:pt idx="2">
                  <c:v>4.5922999999999999E-2</c:v>
                </c:pt>
                <c:pt idx="3">
                  <c:v>3.1391999999999996E-2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1-4235-A635-04E896805979}"/>
            </c:ext>
          </c:extLst>
        </c:ser>
        <c:ser>
          <c:idx val="1"/>
          <c:order val="1"/>
          <c:tx>
            <c:strRef>
              <c:f>Figure2!$D$7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Figure2!$B$37:$B$40</c:f>
              <c:strCache>
                <c:ptCount val="4"/>
                <c:pt idx="0">
                  <c:v>Serbia (³)</c:v>
                </c:pt>
                <c:pt idx="1">
                  <c:v>Montenegro (³)</c:v>
                </c:pt>
                <c:pt idx="2">
                  <c:v>North Macedonia</c:v>
                </c:pt>
                <c:pt idx="3">
                  <c:v>Bosnia and Herzegovina (³)</c:v>
                </c:pt>
              </c:strCache>
            </c:strRef>
          </c:cat>
          <c:val>
            <c:numRef>
              <c:f>Figure2!$D$37:$D$40</c:f>
              <c:numCache>
                <c:formatCode>#,##0.00_i</c:formatCode>
                <c:ptCount val="4"/>
                <c:pt idx="0">
                  <c:v>0.52800000000000002</c:v>
                </c:pt>
                <c:pt idx="1">
                  <c:v>6.7852999999999997E-2</c:v>
                </c:pt>
                <c:pt idx="2">
                  <c:v>3.2267999999999998E-2</c:v>
                </c:pt>
                <c:pt idx="3">
                  <c:v>3.3676000000000005E-2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41-4235-A635-04E896805979}"/>
            </c:ext>
          </c:extLst>
        </c:ser>
        <c:ser>
          <c:idx val="2"/>
          <c:order val="2"/>
          <c:tx>
            <c:strRef>
              <c:f>Figure2!$E$7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Figure2!$B$37:$B$40</c:f>
              <c:strCache>
                <c:ptCount val="4"/>
                <c:pt idx="0">
                  <c:v>Serbia (³)</c:v>
                </c:pt>
                <c:pt idx="1">
                  <c:v>Montenegro (³)</c:v>
                </c:pt>
                <c:pt idx="2">
                  <c:v>North Macedonia</c:v>
                </c:pt>
                <c:pt idx="3">
                  <c:v>Bosnia and Herzegovina (³)</c:v>
                </c:pt>
              </c:strCache>
            </c:strRef>
          </c:cat>
          <c:val>
            <c:numRef>
              <c:f>Figure2!$E$37:$E$40</c:f>
              <c:numCache>
                <c:formatCode>#,##0.00_i</c:formatCode>
                <c:ptCount val="4"/>
                <c:pt idx="0">
                  <c:v>0.58499999999999996</c:v>
                </c:pt>
                <c:pt idx="1">
                  <c:v>6.9105E-2</c:v>
                </c:pt>
                <c:pt idx="2">
                  <c:v>2.6376999999999998E-2</c:v>
                </c:pt>
                <c:pt idx="3">
                  <c:v>3.0303E-2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41-4235-A635-04E896805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558619808"/>
        <c:axId val="558623416"/>
      </c:barChart>
      <c:catAx>
        <c:axId val="55861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8623416"/>
        <c:crosses val="autoZero"/>
        <c:auto val="1"/>
        <c:lblAlgn val="ctr"/>
        <c:lblOffset val="100"/>
        <c:tickMarkSkip val="1"/>
        <c:noMultiLvlLbl val="0"/>
      </c:catAx>
      <c:valAx>
        <c:axId val="55862341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861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Rail passenger transport for main undertakings, 2022, 2023 and 2024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(billion passenger-kilometres)</a:t>
            </a:r>
          </a:p>
        </c:rich>
      </c:tx>
      <c:layout>
        <c:manualLayout>
          <c:xMode val="edge"/>
          <c:yMode val="edge"/>
          <c:x val="4.7789720713297332E-3"/>
          <c:y val="6.6297687644989896E-3"/>
        </c:manualLayout>
      </c:layout>
      <c:overlay val="0"/>
    </c:title>
    <c:autoTitleDeleted val="0"/>
    <c:plotArea>
      <c:layout>
        <c:manualLayout>
          <c:xMode val="edge"/>
          <c:yMode val="edge"/>
          <c:x val="4.7789720713297332E-3"/>
          <c:y val="6.6297687644989896E-3"/>
          <c:w val="0"/>
          <c:h val="0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Figure2!$A$1:$A$2</c:f>
              <c:strCache>
                <c:ptCount val="2"/>
                <c:pt idx="0">
                  <c:v>Figure 2: Rail passenger transport for main undertakings, 2022, 2023 and 2024</c:v>
                </c:pt>
                <c:pt idx="1">
                  <c:v>(billion passenger-kilometres)</c:v>
                </c:pt>
              </c:strCache>
            </c:strRef>
          </c:cat>
          <c:val>
            <c:numRef>
              <c:f>Figure2!$B$1:$B$2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D668-4B6E-9344-E325A3C01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4319807"/>
        <c:axId val="294320287"/>
      </c:barChart>
      <c:catAx>
        <c:axId val="2943198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4320287"/>
        <c:crosses val="autoZero"/>
        <c:auto val="1"/>
        <c:lblAlgn val="ctr"/>
        <c:lblOffset val="100"/>
        <c:noMultiLvlLbl val="0"/>
      </c:catAx>
      <c:valAx>
        <c:axId val="29432028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9431980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Rail passenger transport by type of transport for main undertakings, 2024</a:t>
            </a:r>
          </a:p>
          <a:p>
            <a:pPr algn="l">
              <a:defRPr sz="1800" b="1"/>
            </a:pPr>
            <a:r>
              <a:rPr lang="en-US" sz="1600" b="0"/>
              <a:t>(%, based on passenger-kilometres)</a:t>
            </a:r>
          </a:p>
        </c:rich>
      </c:tx>
      <c:layout>
        <c:manualLayout>
          <c:xMode val="edge"/>
          <c:yMode val="edge"/>
          <c:x val="5.3333333333333332E-3"/>
          <c:y val="8.656068662390319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24637868906803E-2"/>
          <c:y val="0.12660590947081257"/>
          <c:w val="0.93000657904263773"/>
          <c:h val="0.409934201950512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Figure3!$C$47</c:f>
              <c:strCache>
                <c:ptCount val="1"/>
                <c:pt idx="0">
                  <c:v>National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Figure3!$B$48:$B$80</c:f>
              <c:strCache>
                <c:ptCount val="33"/>
                <c:pt idx="0">
                  <c:v>EU</c:v>
                </c:pt>
                <c:pt idx="2">
                  <c:v>Greece (¹)</c:v>
                </c:pt>
                <c:pt idx="3">
                  <c:v>Finland (¹)</c:v>
                </c:pt>
                <c:pt idx="4">
                  <c:v>Estonia (²)</c:v>
                </c:pt>
                <c:pt idx="5">
                  <c:v>Portugal (²)</c:v>
                </c:pt>
                <c:pt idx="6">
                  <c:v>Latvia</c:v>
                </c:pt>
                <c:pt idx="7">
                  <c:v>Italy</c:v>
                </c:pt>
                <c:pt idx="8">
                  <c:v>Spain</c:v>
                </c:pt>
                <c:pt idx="9">
                  <c:v>Romania</c:v>
                </c:pt>
                <c:pt idx="10">
                  <c:v>Bulgaria</c:v>
                </c:pt>
                <c:pt idx="11">
                  <c:v>Croatia</c:v>
                </c:pt>
                <c:pt idx="12">
                  <c:v>Poland</c:v>
                </c:pt>
                <c:pt idx="13">
                  <c:v>Belgium</c:v>
                </c:pt>
                <c:pt idx="14">
                  <c:v>Hungary</c:v>
                </c:pt>
                <c:pt idx="15">
                  <c:v>Ireland</c:v>
                </c:pt>
                <c:pt idx="16">
                  <c:v>Austria</c:v>
                </c:pt>
                <c:pt idx="17">
                  <c:v>Lithuania</c:v>
                </c:pt>
                <c:pt idx="18">
                  <c:v>Slovenia</c:v>
                </c:pt>
                <c:pt idx="19">
                  <c:v>Netherlands</c:v>
                </c:pt>
                <c:pt idx="20">
                  <c:v>Sweden</c:v>
                </c:pt>
                <c:pt idx="21">
                  <c:v>Denmark</c:v>
                </c:pt>
                <c:pt idx="22">
                  <c:v>Germany</c:v>
                </c:pt>
                <c:pt idx="23">
                  <c:v>Slovakia</c:v>
                </c:pt>
                <c:pt idx="24">
                  <c:v>France</c:v>
                </c:pt>
                <c:pt idx="25">
                  <c:v>Czechia</c:v>
                </c:pt>
                <c:pt idx="26">
                  <c:v>Luxembourg</c:v>
                </c:pt>
                <c:pt idx="28">
                  <c:v>Norway</c:v>
                </c:pt>
                <c:pt idx="29">
                  <c:v>Switzerland</c:v>
                </c:pt>
                <c:pt idx="31">
                  <c:v>North Macedonia (¹)</c:v>
                </c:pt>
                <c:pt idx="32">
                  <c:v>Türkiye</c:v>
                </c:pt>
              </c:strCache>
            </c:strRef>
          </c:cat>
          <c:val>
            <c:numRef>
              <c:f>Figure3!$C$48:$C$80</c:f>
              <c:numCache>
                <c:formatCode>0%</c:formatCode>
                <c:ptCount val="33"/>
                <c:pt idx="0" formatCode="0.0">
                  <c:v>94.838932386356277</c:v>
                </c:pt>
                <c:pt idx="2" formatCode="0.00">
                  <c:v>100</c:v>
                </c:pt>
                <c:pt idx="3" formatCode="0.00">
                  <c:v>100</c:v>
                </c:pt>
                <c:pt idx="4" formatCode="0.00">
                  <c:v>99.992462716436989</c:v>
                </c:pt>
                <c:pt idx="5" formatCode="0.00">
                  <c:v>99.692870700547829</c:v>
                </c:pt>
                <c:pt idx="6" formatCode="0.00">
                  <c:v>99.300474034071456</c:v>
                </c:pt>
                <c:pt idx="7" formatCode="0.00">
                  <c:v>98.889988900372245</c:v>
                </c:pt>
                <c:pt idx="8" formatCode="0.00">
                  <c:v>98.773815969972944</c:v>
                </c:pt>
                <c:pt idx="9" formatCode="0.00">
                  <c:v>98.554883113224506</c:v>
                </c:pt>
                <c:pt idx="10" formatCode="0.00">
                  <c:v>98.016279658171229</c:v>
                </c:pt>
                <c:pt idx="11" formatCode="0.00">
                  <c:v>97.851869401464015</c:v>
                </c:pt>
                <c:pt idx="12" formatCode="0.00">
                  <c:v>97.17690310604668</c:v>
                </c:pt>
                <c:pt idx="13" formatCode="0.00">
                  <c:v>96.593920102775883</c:v>
                </c:pt>
                <c:pt idx="14" formatCode="0.00">
                  <c:v>96.277661908095766</c:v>
                </c:pt>
                <c:pt idx="15" formatCode="0.00">
                  <c:v>95.451956402112316</c:v>
                </c:pt>
                <c:pt idx="16" formatCode="0.00">
                  <c:v>95.382795423971046</c:v>
                </c:pt>
                <c:pt idx="17" formatCode="0.00">
                  <c:v>95.258534773312078</c:v>
                </c:pt>
                <c:pt idx="18" formatCode="0.00">
                  <c:v>95.065818789349407</c:v>
                </c:pt>
                <c:pt idx="19" formatCode="0.00">
                  <c:v>94.809135123993073</c:v>
                </c:pt>
                <c:pt idx="20" formatCode="0.00">
                  <c:v>94.591222662556874</c:v>
                </c:pt>
                <c:pt idx="21" formatCode="0.00">
                  <c:v>94.0367729046108</c:v>
                </c:pt>
                <c:pt idx="22" formatCode="0.00">
                  <c:v>93.590024571602541</c:v>
                </c:pt>
                <c:pt idx="23" formatCode="0.00">
                  <c:v>92.975891492816615</c:v>
                </c:pt>
                <c:pt idx="24" formatCode="0.00">
                  <c:v>92.174221271276679</c:v>
                </c:pt>
                <c:pt idx="25" formatCode="0.00">
                  <c:v>82.130964084351064</c:v>
                </c:pt>
                <c:pt idx="26" formatCode="0.00">
                  <c:v>63.451606689936114</c:v>
                </c:pt>
                <c:pt idx="28" formatCode="0.00">
                  <c:v>98.778957481642692</c:v>
                </c:pt>
                <c:pt idx="29" formatCode="0.00">
                  <c:v>94.150219308771042</c:v>
                </c:pt>
                <c:pt idx="31" formatCode="0.00">
                  <c:v>100</c:v>
                </c:pt>
                <c:pt idx="32" formatCode="0.00">
                  <c:v>96.719365956865417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4-47AE-89C5-0E3E58D06738}"/>
            </c:ext>
          </c:extLst>
        </c:ser>
        <c:ser>
          <c:idx val="1"/>
          <c:order val="1"/>
          <c:tx>
            <c:strRef>
              <c:f>Figure3!$D$47</c:f>
              <c:strCache>
                <c:ptCount val="1"/>
                <c:pt idx="0">
                  <c:v>International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Figure3!$B$48:$B$80</c:f>
              <c:strCache>
                <c:ptCount val="33"/>
                <c:pt idx="0">
                  <c:v>EU</c:v>
                </c:pt>
                <c:pt idx="2">
                  <c:v>Greece (¹)</c:v>
                </c:pt>
                <c:pt idx="3">
                  <c:v>Finland (¹)</c:v>
                </c:pt>
                <c:pt idx="4">
                  <c:v>Estonia (²)</c:v>
                </c:pt>
                <c:pt idx="5">
                  <c:v>Portugal (²)</c:v>
                </c:pt>
                <c:pt idx="6">
                  <c:v>Latvia</c:v>
                </c:pt>
                <c:pt idx="7">
                  <c:v>Italy</c:v>
                </c:pt>
                <c:pt idx="8">
                  <c:v>Spain</c:v>
                </c:pt>
                <c:pt idx="9">
                  <c:v>Romania</c:v>
                </c:pt>
                <c:pt idx="10">
                  <c:v>Bulgaria</c:v>
                </c:pt>
                <c:pt idx="11">
                  <c:v>Croatia</c:v>
                </c:pt>
                <c:pt idx="12">
                  <c:v>Poland</c:v>
                </c:pt>
                <c:pt idx="13">
                  <c:v>Belgium</c:v>
                </c:pt>
                <c:pt idx="14">
                  <c:v>Hungary</c:v>
                </c:pt>
                <c:pt idx="15">
                  <c:v>Ireland</c:v>
                </c:pt>
                <c:pt idx="16">
                  <c:v>Austria</c:v>
                </c:pt>
                <c:pt idx="17">
                  <c:v>Lithuania</c:v>
                </c:pt>
                <c:pt idx="18">
                  <c:v>Slovenia</c:v>
                </c:pt>
                <c:pt idx="19">
                  <c:v>Netherlands</c:v>
                </c:pt>
                <c:pt idx="20">
                  <c:v>Sweden</c:v>
                </c:pt>
                <c:pt idx="21">
                  <c:v>Denmark</c:v>
                </c:pt>
                <c:pt idx="22">
                  <c:v>Germany</c:v>
                </c:pt>
                <c:pt idx="23">
                  <c:v>Slovakia</c:v>
                </c:pt>
                <c:pt idx="24">
                  <c:v>France</c:v>
                </c:pt>
                <c:pt idx="25">
                  <c:v>Czechia</c:v>
                </c:pt>
                <c:pt idx="26">
                  <c:v>Luxembourg</c:v>
                </c:pt>
                <c:pt idx="28">
                  <c:v>Norway</c:v>
                </c:pt>
                <c:pt idx="29">
                  <c:v>Switzerland</c:v>
                </c:pt>
                <c:pt idx="31">
                  <c:v>North Macedonia (¹)</c:v>
                </c:pt>
                <c:pt idx="32">
                  <c:v>Türkiye</c:v>
                </c:pt>
              </c:strCache>
            </c:strRef>
          </c:cat>
          <c:val>
            <c:numRef>
              <c:f>Figure3!$D$48:$D$80</c:f>
              <c:numCache>
                <c:formatCode>General</c:formatCode>
                <c:ptCount val="33"/>
                <c:pt idx="0" formatCode="0.0">
                  <c:v>5.1610676136437235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7.5372835630038932E-3</c:v>
                </c:pt>
                <c:pt idx="5" formatCode="0.00">
                  <c:v>0.30712929945216855</c:v>
                </c:pt>
                <c:pt idx="6" formatCode="0.00">
                  <c:v>0.69952596592853267</c:v>
                </c:pt>
                <c:pt idx="7" formatCode="0.00">
                  <c:v>1.1100110996277501</c:v>
                </c:pt>
                <c:pt idx="8" formatCode="0.00">
                  <c:v>1.2261840300270523</c:v>
                </c:pt>
                <c:pt idx="9" formatCode="0.00">
                  <c:v>1.4451168867754987</c:v>
                </c:pt>
                <c:pt idx="10" formatCode="0.00">
                  <c:v>1.983720341828761</c:v>
                </c:pt>
                <c:pt idx="11" formatCode="0.00">
                  <c:v>2.1481305985359751</c:v>
                </c:pt>
                <c:pt idx="12" formatCode="0.00">
                  <c:v>2.8230968939533212</c:v>
                </c:pt>
                <c:pt idx="13" formatCode="0.00">
                  <c:v>3.4060798972241284</c:v>
                </c:pt>
                <c:pt idx="14" formatCode="0.00">
                  <c:v>3.7223380919042337</c:v>
                </c:pt>
                <c:pt idx="15" formatCode="0.00">
                  <c:v>4.5480435978876841</c:v>
                </c:pt>
                <c:pt idx="16" formatCode="0.00">
                  <c:v>4.6172045760289553</c:v>
                </c:pt>
                <c:pt idx="17" formatCode="0.00">
                  <c:v>4.7414652266879287</c:v>
                </c:pt>
                <c:pt idx="18" formatCode="0.00">
                  <c:v>4.9341812106505847</c:v>
                </c:pt>
                <c:pt idx="19" formatCode="0.00">
                  <c:v>5.1908648760069314</c:v>
                </c:pt>
                <c:pt idx="20" formatCode="0.00">
                  <c:v>5.4087773374431238</c:v>
                </c:pt>
                <c:pt idx="21" formatCode="0.00">
                  <c:v>5.9632270953892004</c:v>
                </c:pt>
                <c:pt idx="22" formatCode="0.00">
                  <c:v>6.4099754283974644</c:v>
                </c:pt>
                <c:pt idx="23" formatCode="0.00">
                  <c:v>7.0241085071833815</c:v>
                </c:pt>
                <c:pt idx="24" formatCode="0.00">
                  <c:v>7.8257787287233151</c:v>
                </c:pt>
                <c:pt idx="25" formatCode="0.00">
                  <c:v>17.869035915648933</c:v>
                </c:pt>
                <c:pt idx="26" formatCode="0.00">
                  <c:v>36.548393310063886</c:v>
                </c:pt>
                <c:pt idx="28" formatCode="0.00">
                  <c:v>1.2210425183573033</c:v>
                </c:pt>
                <c:pt idx="29" formatCode="0.00">
                  <c:v>5.8497806912289558</c:v>
                </c:pt>
                <c:pt idx="31" formatCode="0.00">
                  <c:v>0</c:v>
                </c:pt>
                <c:pt idx="32" formatCode="0.00">
                  <c:v>3.2806340431345871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4-47AE-89C5-0E3E58D06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571013680"/>
        <c:axId val="571016424"/>
      </c:barChart>
      <c:catAx>
        <c:axId val="571013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1016424"/>
        <c:crosses val="autoZero"/>
        <c:auto val="1"/>
        <c:lblAlgn val="ctr"/>
        <c:lblOffset val="100"/>
        <c:tickMarkSkip val="1"/>
        <c:noMultiLvlLbl val="0"/>
      </c:catAx>
      <c:valAx>
        <c:axId val="571016424"/>
        <c:scaling>
          <c:orientation val="minMax"/>
          <c:max val="100"/>
          <c:min val="50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101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520902887139108"/>
          <c:y val="0.73749619806039313"/>
          <c:w val="0.21396242313850469"/>
          <c:h val="4.1713390409996061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910131233595796E-2"/>
          <c:y val="3.983387911834331E-2"/>
          <c:w val="0.89572493483428328"/>
          <c:h val="0.550333784099739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Figure4!$C$4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Figure4!$B$5:$B$37</c:f>
              <c:strCache>
                <c:ptCount val="33"/>
                <c:pt idx="0">
                  <c:v>Germany</c:v>
                </c:pt>
                <c:pt idx="1">
                  <c:v>France</c:v>
                </c:pt>
                <c:pt idx="2">
                  <c:v>Italy</c:v>
                </c:pt>
                <c:pt idx="3">
                  <c:v>Spain</c:v>
                </c:pt>
                <c:pt idx="4">
                  <c:v>Poland</c:v>
                </c:pt>
                <c:pt idx="5">
                  <c:v>Netherlands (¹)</c:v>
                </c:pt>
                <c:pt idx="6">
                  <c:v>Austria</c:v>
                </c:pt>
                <c:pt idx="7">
                  <c:v>Hungary (²)</c:v>
                </c:pt>
                <c:pt idx="8">
                  <c:v>Sweden</c:v>
                </c:pt>
                <c:pt idx="9">
                  <c:v>Portugal</c:v>
                </c:pt>
                <c:pt idx="10">
                  <c:v>Denmark</c:v>
                </c:pt>
                <c:pt idx="11">
                  <c:v>Czechia</c:v>
                </c:pt>
                <c:pt idx="12">
                  <c:v>Finland</c:v>
                </c:pt>
                <c:pt idx="13">
                  <c:v>Slovakia</c:v>
                </c:pt>
                <c:pt idx="14">
                  <c:v>Romania</c:v>
                </c:pt>
                <c:pt idx="15">
                  <c:v>Ireland</c:v>
                </c:pt>
                <c:pt idx="16">
                  <c:v>Luxembourg</c:v>
                </c:pt>
                <c:pt idx="17">
                  <c:v>Croatia</c:v>
                </c:pt>
                <c:pt idx="18">
                  <c:v>Bulgaria</c:v>
                </c:pt>
                <c:pt idx="19">
                  <c:v>Latvia</c:v>
                </c:pt>
                <c:pt idx="20">
                  <c:v>Slovenia</c:v>
                </c:pt>
                <c:pt idx="21">
                  <c:v>Greece</c:v>
                </c:pt>
                <c:pt idx="22">
                  <c:v>Estonia</c:v>
                </c:pt>
                <c:pt idx="23">
                  <c:v>Lithuania</c:v>
                </c:pt>
                <c:pt idx="25">
                  <c:v>Switzerland</c:v>
                </c:pt>
                <c:pt idx="26">
                  <c:v>Norway</c:v>
                </c:pt>
                <c:pt idx="28">
                  <c:v>Türkiye </c:v>
                </c:pt>
                <c:pt idx="29">
                  <c:v>Serbia (³)</c:v>
                </c:pt>
                <c:pt idx="30">
                  <c:v>Montenegro (³)</c:v>
                </c:pt>
                <c:pt idx="31">
                  <c:v>Bosnia and Herzegovina (³)</c:v>
                </c:pt>
                <c:pt idx="32">
                  <c:v>North Macedonia</c:v>
                </c:pt>
              </c:strCache>
            </c:strRef>
          </c:cat>
          <c:val>
            <c:numRef>
              <c:f>Figure4!$C$5:$C$37</c:f>
              <c:numCache>
                <c:formatCode>#,##0.0_i</c:formatCode>
                <c:ptCount val="33"/>
                <c:pt idx="0">
                  <c:v>2505.855857</c:v>
                </c:pt>
                <c:pt idx="1">
                  <c:v>1141.8217509999999</c:v>
                </c:pt>
                <c:pt idx="2">
                  <c:v>681.57707900000003</c:v>
                </c:pt>
                <c:pt idx="3">
                  <c:v>554.15438099999994</c:v>
                </c:pt>
                <c:pt idx="4">
                  <c:v>333.176198</c:v>
                </c:pt>
                <c:pt idx="5">
                  <c:v>318.94309900000002</c:v>
                </c:pt>
                <c:pt idx="6">
                  <c:v>260.99216699999999</c:v>
                </c:pt>
                <c:pt idx="7">
                  <c:v>141.40281999999999</c:v>
                </c:pt>
                <c:pt idx="8">
                  <c:v>243.97200000000001</c:v>
                </c:pt>
                <c:pt idx="9">
                  <c:v>171.65330499999999</c:v>
                </c:pt>
                <c:pt idx="10">
                  <c:v>184.89699999999999</c:v>
                </c:pt>
                <c:pt idx="11">
                  <c:v>174.32735400000001</c:v>
                </c:pt>
                <c:pt idx="12">
                  <c:v>76.089129</c:v>
                </c:pt>
                <c:pt idx="13">
                  <c:v>66.705006999999995</c:v>
                </c:pt>
                <c:pt idx="14">
                  <c:v>69.316148999999996</c:v>
                </c:pt>
                <c:pt idx="15">
                  <c:v>35.845067</c:v>
                </c:pt>
                <c:pt idx="16">
                  <c:v>22.037732999999999</c:v>
                </c:pt>
                <c:pt idx="17">
                  <c:v>18.581492000000001</c:v>
                </c:pt>
                <c:pt idx="18">
                  <c:v>23.065303</c:v>
                </c:pt>
                <c:pt idx="19">
                  <c:v>15.693792999999999</c:v>
                </c:pt>
                <c:pt idx="20">
                  <c:v>13.908697999999999</c:v>
                </c:pt>
                <c:pt idx="21">
                  <c:v>15.421052</c:v>
                </c:pt>
                <c:pt idx="22">
                  <c:v>7.1289999999999996</c:v>
                </c:pt>
                <c:pt idx="23">
                  <c:v>4.4644360000000001</c:v>
                </c:pt>
                <c:pt idx="25">
                  <c:v>433.25394</c:v>
                </c:pt>
                <c:pt idx="26">
                  <c:v>66.695442</c:v>
                </c:pt>
                <c:pt idx="28">
                  <c:v>27.030999999999999</c:v>
                </c:pt>
                <c:pt idx="29">
                  <c:v>5.6909999999999998</c:v>
                </c:pt>
                <c:pt idx="30">
                  <c:v>0.77349999999999997</c:v>
                </c:pt>
                <c:pt idx="31">
                  <c:v>0.44245599999999996</c:v>
                </c:pt>
                <c:pt idx="32">
                  <c:v>0.40550700000000001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E-46AA-A45C-BEF1184FEB83}"/>
            </c:ext>
          </c:extLst>
        </c:ser>
        <c:ser>
          <c:idx val="1"/>
          <c:order val="1"/>
          <c:tx>
            <c:strRef>
              <c:f>Figure4!$D$4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Figure4!$B$5:$B$37</c:f>
              <c:strCache>
                <c:ptCount val="33"/>
                <c:pt idx="0">
                  <c:v>Germany</c:v>
                </c:pt>
                <c:pt idx="1">
                  <c:v>France</c:v>
                </c:pt>
                <c:pt idx="2">
                  <c:v>Italy</c:v>
                </c:pt>
                <c:pt idx="3">
                  <c:v>Spain</c:v>
                </c:pt>
                <c:pt idx="4">
                  <c:v>Poland</c:v>
                </c:pt>
                <c:pt idx="5">
                  <c:v>Netherlands (¹)</c:v>
                </c:pt>
                <c:pt idx="6">
                  <c:v>Austria</c:v>
                </c:pt>
                <c:pt idx="7">
                  <c:v>Hungary (²)</c:v>
                </c:pt>
                <c:pt idx="8">
                  <c:v>Sweden</c:v>
                </c:pt>
                <c:pt idx="9">
                  <c:v>Portugal</c:v>
                </c:pt>
                <c:pt idx="10">
                  <c:v>Denmark</c:v>
                </c:pt>
                <c:pt idx="11">
                  <c:v>Czechia</c:v>
                </c:pt>
                <c:pt idx="12">
                  <c:v>Finland</c:v>
                </c:pt>
                <c:pt idx="13">
                  <c:v>Slovakia</c:v>
                </c:pt>
                <c:pt idx="14">
                  <c:v>Romania</c:v>
                </c:pt>
                <c:pt idx="15">
                  <c:v>Ireland</c:v>
                </c:pt>
                <c:pt idx="16">
                  <c:v>Luxembourg</c:v>
                </c:pt>
                <c:pt idx="17">
                  <c:v>Croatia</c:v>
                </c:pt>
                <c:pt idx="18">
                  <c:v>Bulgaria</c:v>
                </c:pt>
                <c:pt idx="19">
                  <c:v>Latvia</c:v>
                </c:pt>
                <c:pt idx="20">
                  <c:v>Slovenia</c:v>
                </c:pt>
                <c:pt idx="21">
                  <c:v>Greece</c:v>
                </c:pt>
                <c:pt idx="22">
                  <c:v>Estonia</c:v>
                </c:pt>
                <c:pt idx="23">
                  <c:v>Lithuania</c:v>
                </c:pt>
                <c:pt idx="25">
                  <c:v>Switzerland</c:v>
                </c:pt>
                <c:pt idx="26">
                  <c:v>Norway</c:v>
                </c:pt>
                <c:pt idx="28">
                  <c:v>Türkiye </c:v>
                </c:pt>
                <c:pt idx="29">
                  <c:v>Serbia (³)</c:v>
                </c:pt>
                <c:pt idx="30">
                  <c:v>Montenegro (³)</c:v>
                </c:pt>
                <c:pt idx="31">
                  <c:v>Bosnia and Herzegovina (³)</c:v>
                </c:pt>
                <c:pt idx="32">
                  <c:v>North Macedonia</c:v>
                </c:pt>
              </c:strCache>
            </c:strRef>
          </c:cat>
          <c:val>
            <c:numRef>
              <c:f>Figure4!$D$5:$D$37</c:f>
              <c:numCache>
                <c:formatCode>#,##0.0_i</c:formatCode>
                <c:ptCount val="33"/>
                <c:pt idx="0">
                  <c:v>2727.923057</c:v>
                </c:pt>
                <c:pt idx="1">
                  <c:v>1226.405352</c:v>
                </c:pt>
                <c:pt idx="2">
                  <c:v>814.44088599999998</c:v>
                </c:pt>
                <c:pt idx="3">
                  <c:v>666.20529499999998</c:v>
                </c:pt>
                <c:pt idx="4">
                  <c:v>364.676266</c:v>
                </c:pt>
                <c:pt idx="5">
                  <c:v>358.45798400000001</c:v>
                </c:pt>
                <c:pt idx="6">
                  <c:v>304.857168</c:v>
                </c:pt>
                <c:pt idx="7">
                  <c:v>190.56511900000001</c:v>
                </c:pt>
                <c:pt idx="8">
                  <c:v>243.44200000000001</c:v>
                </c:pt>
                <c:pt idx="9">
                  <c:v>200.459474</c:v>
                </c:pt>
                <c:pt idx="10">
                  <c:v>202.86600000000001</c:v>
                </c:pt>
                <c:pt idx="11">
                  <c:v>183.97938600000001</c:v>
                </c:pt>
                <c:pt idx="12">
                  <c:v>82.406009999999995</c:v>
                </c:pt>
                <c:pt idx="13">
                  <c:v>71.689409999999995</c:v>
                </c:pt>
                <c:pt idx="14">
                  <c:v>73.196068999999994</c:v>
                </c:pt>
                <c:pt idx="15">
                  <c:v>46.066147000000001</c:v>
                </c:pt>
                <c:pt idx="16">
                  <c:v>28.687638</c:v>
                </c:pt>
                <c:pt idx="17">
                  <c:v>23.850857999999999</c:v>
                </c:pt>
                <c:pt idx="18">
                  <c:v>21.811429</c:v>
                </c:pt>
                <c:pt idx="19">
                  <c:v>17.133623</c:v>
                </c:pt>
                <c:pt idx="20">
                  <c:v>14.483038000000001</c:v>
                </c:pt>
                <c:pt idx="21">
                  <c:v>12.806882</c:v>
                </c:pt>
                <c:pt idx="22">
                  <c:v>7.8049999999999997</c:v>
                </c:pt>
                <c:pt idx="23">
                  <c:v>4.7192499999999997</c:v>
                </c:pt>
                <c:pt idx="25">
                  <c:v>495.604263</c:v>
                </c:pt>
                <c:pt idx="26">
                  <c:v>78.219933999999995</c:v>
                </c:pt>
                <c:pt idx="28">
                  <c:v>25.61</c:v>
                </c:pt>
                <c:pt idx="29">
                  <c:v>7.1169999999999991</c:v>
                </c:pt>
                <c:pt idx="30">
                  <c:v>0.85373199999999994</c:v>
                </c:pt>
                <c:pt idx="31">
                  <c:v>0.44806699999999999</c:v>
                </c:pt>
                <c:pt idx="32">
                  <c:v>0.28044000000000002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E-46AA-A45C-BEF1184FEB83}"/>
            </c:ext>
          </c:extLst>
        </c:ser>
        <c:ser>
          <c:idx val="2"/>
          <c:order val="2"/>
          <c:tx>
            <c:strRef>
              <c:f>Figure4!$E$4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Figure4!$B$5:$B$37</c:f>
              <c:strCache>
                <c:ptCount val="33"/>
                <c:pt idx="0">
                  <c:v>Germany</c:v>
                </c:pt>
                <c:pt idx="1">
                  <c:v>France</c:v>
                </c:pt>
                <c:pt idx="2">
                  <c:v>Italy</c:v>
                </c:pt>
                <c:pt idx="3">
                  <c:v>Spain</c:v>
                </c:pt>
                <c:pt idx="4">
                  <c:v>Poland</c:v>
                </c:pt>
                <c:pt idx="5">
                  <c:v>Netherlands (¹)</c:v>
                </c:pt>
                <c:pt idx="6">
                  <c:v>Austria</c:v>
                </c:pt>
                <c:pt idx="7">
                  <c:v>Hungary (²)</c:v>
                </c:pt>
                <c:pt idx="8">
                  <c:v>Sweden</c:v>
                </c:pt>
                <c:pt idx="9">
                  <c:v>Portugal</c:v>
                </c:pt>
                <c:pt idx="10">
                  <c:v>Denmark</c:v>
                </c:pt>
                <c:pt idx="11">
                  <c:v>Czechia</c:v>
                </c:pt>
                <c:pt idx="12">
                  <c:v>Finland</c:v>
                </c:pt>
                <c:pt idx="13">
                  <c:v>Slovakia</c:v>
                </c:pt>
                <c:pt idx="14">
                  <c:v>Romania</c:v>
                </c:pt>
                <c:pt idx="15">
                  <c:v>Ireland</c:v>
                </c:pt>
                <c:pt idx="16">
                  <c:v>Luxembourg</c:v>
                </c:pt>
                <c:pt idx="17">
                  <c:v>Croatia</c:v>
                </c:pt>
                <c:pt idx="18">
                  <c:v>Bulgaria</c:v>
                </c:pt>
                <c:pt idx="19">
                  <c:v>Latvia</c:v>
                </c:pt>
                <c:pt idx="20">
                  <c:v>Slovenia</c:v>
                </c:pt>
                <c:pt idx="21">
                  <c:v>Greece</c:v>
                </c:pt>
                <c:pt idx="22">
                  <c:v>Estonia</c:v>
                </c:pt>
                <c:pt idx="23">
                  <c:v>Lithuania</c:v>
                </c:pt>
                <c:pt idx="25">
                  <c:v>Switzerland</c:v>
                </c:pt>
                <c:pt idx="26">
                  <c:v>Norway</c:v>
                </c:pt>
                <c:pt idx="28">
                  <c:v>Türkiye </c:v>
                </c:pt>
                <c:pt idx="29">
                  <c:v>Serbia (³)</c:v>
                </c:pt>
                <c:pt idx="30">
                  <c:v>Montenegro (³)</c:v>
                </c:pt>
                <c:pt idx="31">
                  <c:v>Bosnia and Herzegovina (³)</c:v>
                </c:pt>
                <c:pt idx="32">
                  <c:v>North Macedonia</c:v>
                </c:pt>
              </c:strCache>
            </c:strRef>
          </c:cat>
          <c:val>
            <c:numRef>
              <c:f>Figure4!$E$5:$E$37</c:f>
              <c:numCache>
                <c:formatCode>#,##0.0_i</c:formatCode>
                <c:ptCount val="33"/>
                <c:pt idx="0">
                  <c:v>2904.3535969999998</c:v>
                </c:pt>
                <c:pt idx="1">
                  <c:v>1320.114924</c:v>
                </c:pt>
                <c:pt idx="2">
                  <c:v>842.82153900000003</c:v>
                </c:pt>
                <c:pt idx="3">
                  <c:v>691.733205</c:v>
                </c:pt>
                <c:pt idx="4">
                  <c:v>398.52351199999998</c:v>
                </c:pt>
                <c:pt idx="5">
                  <c:v>375.74101999999999</c:v>
                </c:pt>
                <c:pt idx="6">
                  <c:v>326.46597200000002</c:v>
                </c:pt>
                <c:pt idx="7">
                  <c:v>304.90192100000002</c:v>
                </c:pt>
                <c:pt idx="8">
                  <c:v>252.37100000000001</c:v>
                </c:pt>
                <c:pt idx="9">
                  <c:v>218.88621800000001</c:v>
                </c:pt>
                <c:pt idx="10">
                  <c:v>210.447</c:v>
                </c:pt>
                <c:pt idx="11">
                  <c:v>191.17067499999999</c:v>
                </c:pt>
                <c:pt idx="12">
                  <c:v>84.573999999999998</c:v>
                </c:pt>
                <c:pt idx="13">
                  <c:v>72.055627000000001</c:v>
                </c:pt>
                <c:pt idx="14">
                  <c:v>69.635549999999995</c:v>
                </c:pt>
                <c:pt idx="15">
                  <c:v>50.663715000000003</c:v>
                </c:pt>
                <c:pt idx="16">
                  <c:v>31.263434</c:v>
                </c:pt>
                <c:pt idx="17">
                  <c:v>24.590475000000001</c:v>
                </c:pt>
                <c:pt idx="18">
                  <c:v>21.140657000000001</c:v>
                </c:pt>
                <c:pt idx="19">
                  <c:v>19.508313999999999</c:v>
                </c:pt>
                <c:pt idx="20">
                  <c:v>15.704134</c:v>
                </c:pt>
                <c:pt idx="21">
                  <c:v>14.052752</c:v>
                </c:pt>
                <c:pt idx="22">
                  <c:v>7.9441699999999997</c:v>
                </c:pt>
                <c:pt idx="23">
                  <c:v>5.1139749999999999</c:v>
                </c:pt>
                <c:pt idx="25">
                  <c:v>521.04522599999996</c:v>
                </c:pt>
                <c:pt idx="26">
                  <c:v>81.933401000000003</c:v>
                </c:pt>
                <c:pt idx="28">
                  <c:v>24.021032000000002</c:v>
                </c:pt>
                <c:pt idx="29">
                  <c:v>7.9379999999999997</c:v>
                </c:pt>
                <c:pt idx="30">
                  <c:v>0.86317900000000003</c:v>
                </c:pt>
                <c:pt idx="31">
                  <c:v>0.42099999999999999</c:v>
                </c:pt>
                <c:pt idx="32">
                  <c:v>0.237648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E-46AA-A45C-BEF1184FE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558619808"/>
        <c:axId val="558623416"/>
      </c:barChart>
      <c:catAx>
        <c:axId val="55861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8623416"/>
        <c:crosses val="autoZero"/>
        <c:auto val="1"/>
        <c:lblAlgn val="ctr"/>
        <c:lblOffset val="100"/>
        <c:tickMarkSkip val="1"/>
        <c:noMultiLvlLbl val="0"/>
      </c:catAx>
      <c:valAx>
        <c:axId val="55862341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861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910131233595796E-2"/>
          <c:y val="3.983387911834331E-2"/>
          <c:w val="0.89572493483428328"/>
          <c:h val="0.550333784099739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Figure4!$C$4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Figure4!$B$17:$B$28</c:f>
              <c:strCache>
                <c:ptCount val="12"/>
                <c:pt idx="0">
                  <c:v>Finland</c:v>
                </c:pt>
                <c:pt idx="1">
                  <c:v>Slovakia</c:v>
                </c:pt>
                <c:pt idx="2">
                  <c:v>Romania</c:v>
                </c:pt>
                <c:pt idx="3">
                  <c:v>Ireland</c:v>
                </c:pt>
                <c:pt idx="4">
                  <c:v>Luxembourg</c:v>
                </c:pt>
                <c:pt idx="5">
                  <c:v>Croatia</c:v>
                </c:pt>
                <c:pt idx="6">
                  <c:v>Bulgaria</c:v>
                </c:pt>
                <c:pt idx="7">
                  <c:v>Latvia</c:v>
                </c:pt>
                <c:pt idx="8">
                  <c:v>Slovenia</c:v>
                </c:pt>
                <c:pt idx="9">
                  <c:v>Greece</c:v>
                </c:pt>
                <c:pt idx="10">
                  <c:v>Estonia</c:v>
                </c:pt>
                <c:pt idx="11">
                  <c:v>Lithuania</c:v>
                </c:pt>
              </c:strCache>
            </c:strRef>
          </c:cat>
          <c:val>
            <c:numRef>
              <c:f>Figure4!$C$17:$C$28</c:f>
              <c:numCache>
                <c:formatCode>#,##0.0_i</c:formatCode>
                <c:ptCount val="12"/>
                <c:pt idx="0">
                  <c:v>76.089129</c:v>
                </c:pt>
                <c:pt idx="1">
                  <c:v>66.705006999999995</c:v>
                </c:pt>
                <c:pt idx="2">
                  <c:v>69.316148999999996</c:v>
                </c:pt>
                <c:pt idx="3">
                  <c:v>35.845067</c:v>
                </c:pt>
                <c:pt idx="4">
                  <c:v>22.037732999999999</c:v>
                </c:pt>
                <c:pt idx="5">
                  <c:v>18.581492000000001</c:v>
                </c:pt>
                <c:pt idx="6">
                  <c:v>23.065303</c:v>
                </c:pt>
                <c:pt idx="7">
                  <c:v>15.693792999999999</c:v>
                </c:pt>
                <c:pt idx="8">
                  <c:v>13.908697999999999</c:v>
                </c:pt>
                <c:pt idx="9">
                  <c:v>15.421052</c:v>
                </c:pt>
                <c:pt idx="10">
                  <c:v>7.1289999999999996</c:v>
                </c:pt>
                <c:pt idx="11">
                  <c:v>4.4644360000000001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F-49A2-A365-822777073432}"/>
            </c:ext>
          </c:extLst>
        </c:ser>
        <c:ser>
          <c:idx val="1"/>
          <c:order val="1"/>
          <c:tx>
            <c:strRef>
              <c:f>Figure4!$D$4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Figure4!$B$17:$B$28</c:f>
              <c:strCache>
                <c:ptCount val="12"/>
                <c:pt idx="0">
                  <c:v>Finland</c:v>
                </c:pt>
                <c:pt idx="1">
                  <c:v>Slovakia</c:v>
                </c:pt>
                <c:pt idx="2">
                  <c:v>Romania</c:v>
                </c:pt>
                <c:pt idx="3">
                  <c:v>Ireland</c:v>
                </c:pt>
                <c:pt idx="4">
                  <c:v>Luxembourg</c:v>
                </c:pt>
                <c:pt idx="5">
                  <c:v>Croatia</c:v>
                </c:pt>
                <c:pt idx="6">
                  <c:v>Bulgaria</c:v>
                </c:pt>
                <c:pt idx="7">
                  <c:v>Latvia</c:v>
                </c:pt>
                <c:pt idx="8">
                  <c:v>Slovenia</c:v>
                </c:pt>
                <c:pt idx="9">
                  <c:v>Greece</c:v>
                </c:pt>
                <c:pt idx="10">
                  <c:v>Estonia</c:v>
                </c:pt>
                <c:pt idx="11">
                  <c:v>Lithuania</c:v>
                </c:pt>
              </c:strCache>
            </c:strRef>
          </c:cat>
          <c:val>
            <c:numRef>
              <c:f>Figure4!$D$17:$D$28</c:f>
              <c:numCache>
                <c:formatCode>#,##0.0_i</c:formatCode>
                <c:ptCount val="12"/>
                <c:pt idx="0">
                  <c:v>82.406009999999995</c:v>
                </c:pt>
                <c:pt idx="1">
                  <c:v>71.689409999999995</c:v>
                </c:pt>
                <c:pt idx="2">
                  <c:v>73.196068999999994</c:v>
                </c:pt>
                <c:pt idx="3">
                  <c:v>46.066147000000001</c:v>
                </c:pt>
                <c:pt idx="4">
                  <c:v>28.687638</c:v>
                </c:pt>
                <c:pt idx="5">
                  <c:v>23.850857999999999</c:v>
                </c:pt>
                <c:pt idx="6">
                  <c:v>21.811429</c:v>
                </c:pt>
                <c:pt idx="7">
                  <c:v>17.133623</c:v>
                </c:pt>
                <c:pt idx="8">
                  <c:v>14.483038000000001</c:v>
                </c:pt>
                <c:pt idx="9">
                  <c:v>12.806882</c:v>
                </c:pt>
                <c:pt idx="10">
                  <c:v>7.8049999999999997</c:v>
                </c:pt>
                <c:pt idx="11">
                  <c:v>4.7192499999999997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0F-49A2-A365-822777073432}"/>
            </c:ext>
          </c:extLst>
        </c:ser>
        <c:ser>
          <c:idx val="2"/>
          <c:order val="2"/>
          <c:tx>
            <c:strRef>
              <c:f>Figure4!$E$4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Figure4!$B$17:$B$28</c:f>
              <c:strCache>
                <c:ptCount val="12"/>
                <c:pt idx="0">
                  <c:v>Finland</c:v>
                </c:pt>
                <c:pt idx="1">
                  <c:v>Slovakia</c:v>
                </c:pt>
                <c:pt idx="2">
                  <c:v>Romania</c:v>
                </c:pt>
                <c:pt idx="3">
                  <c:v>Ireland</c:v>
                </c:pt>
                <c:pt idx="4">
                  <c:v>Luxembourg</c:v>
                </c:pt>
                <c:pt idx="5">
                  <c:v>Croatia</c:v>
                </c:pt>
                <c:pt idx="6">
                  <c:v>Bulgaria</c:v>
                </c:pt>
                <c:pt idx="7">
                  <c:v>Latvia</c:v>
                </c:pt>
                <c:pt idx="8">
                  <c:v>Slovenia</c:v>
                </c:pt>
                <c:pt idx="9">
                  <c:v>Greece</c:v>
                </c:pt>
                <c:pt idx="10">
                  <c:v>Estonia</c:v>
                </c:pt>
                <c:pt idx="11">
                  <c:v>Lithuania</c:v>
                </c:pt>
              </c:strCache>
            </c:strRef>
          </c:cat>
          <c:val>
            <c:numRef>
              <c:f>Figure4!$E$17:$E$28</c:f>
              <c:numCache>
                <c:formatCode>#,##0.0_i</c:formatCode>
                <c:ptCount val="12"/>
                <c:pt idx="0">
                  <c:v>84.573999999999998</c:v>
                </c:pt>
                <c:pt idx="1">
                  <c:v>72.055627000000001</c:v>
                </c:pt>
                <c:pt idx="2">
                  <c:v>69.635549999999995</c:v>
                </c:pt>
                <c:pt idx="3">
                  <c:v>50.663715000000003</c:v>
                </c:pt>
                <c:pt idx="4">
                  <c:v>31.263434</c:v>
                </c:pt>
                <c:pt idx="5">
                  <c:v>24.590475000000001</c:v>
                </c:pt>
                <c:pt idx="6">
                  <c:v>21.140657000000001</c:v>
                </c:pt>
                <c:pt idx="7">
                  <c:v>19.508313999999999</c:v>
                </c:pt>
                <c:pt idx="8">
                  <c:v>15.704134</c:v>
                </c:pt>
                <c:pt idx="9">
                  <c:v>14.052752</c:v>
                </c:pt>
                <c:pt idx="10">
                  <c:v>7.9441699999999997</c:v>
                </c:pt>
                <c:pt idx="11">
                  <c:v>5.1139749999999999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0F-49A2-A365-822777073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558619808"/>
        <c:axId val="558623416"/>
      </c:barChart>
      <c:catAx>
        <c:axId val="55861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8623416"/>
        <c:crosses val="autoZero"/>
        <c:auto val="1"/>
        <c:lblAlgn val="ctr"/>
        <c:lblOffset val="100"/>
        <c:tickMarkSkip val="1"/>
        <c:noMultiLvlLbl val="0"/>
      </c:catAx>
      <c:valAx>
        <c:axId val="55862341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861980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826528653455124"/>
          <c:y val="3.983387911834331E-2"/>
          <c:w val="0.68022627771410515"/>
          <c:h val="0.550333784099739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Figure4!$C$4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Figure4!$B$34:$B$37</c:f>
              <c:strCache>
                <c:ptCount val="4"/>
                <c:pt idx="0">
                  <c:v>Serbia (³)</c:v>
                </c:pt>
                <c:pt idx="1">
                  <c:v>Montenegro (³)</c:v>
                </c:pt>
                <c:pt idx="2">
                  <c:v>Bosnia and Herzegovina (³)</c:v>
                </c:pt>
                <c:pt idx="3">
                  <c:v>North Macedonia</c:v>
                </c:pt>
              </c:strCache>
            </c:strRef>
          </c:cat>
          <c:val>
            <c:numRef>
              <c:f>Figure4!$C$34:$C$37</c:f>
              <c:numCache>
                <c:formatCode>#,##0.0_i</c:formatCode>
                <c:ptCount val="4"/>
                <c:pt idx="0">
                  <c:v>5.6909999999999998</c:v>
                </c:pt>
                <c:pt idx="1">
                  <c:v>0.77349999999999997</c:v>
                </c:pt>
                <c:pt idx="2">
                  <c:v>0.44245599999999996</c:v>
                </c:pt>
                <c:pt idx="3">
                  <c:v>0.40550700000000001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3-4436-9460-7F0244F0A1F1}"/>
            </c:ext>
          </c:extLst>
        </c:ser>
        <c:ser>
          <c:idx val="1"/>
          <c:order val="1"/>
          <c:tx>
            <c:strRef>
              <c:f>Figure4!$D$4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Figure4!$B$34:$B$37</c:f>
              <c:strCache>
                <c:ptCount val="4"/>
                <c:pt idx="0">
                  <c:v>Serbia (³)</c:v>
                </c:pt>
                <c:pt idx="1">
                  <c:v>Montenegro (³)</c:v>
                </c:pt>
                <c:pt idx="2">
                  <c:v>Bosnia and Herzegovina (³)</c:v>
                </c:pt>
                <c:pt idx="3">
                  <c:v>North Macedonia</c:v>
                </c:pt>
              </c:strCache>
            </c:strRef>
          </c:cat>
          <c:val>
            <c:numRef>
              <c:f>Figure4!$D$34:$D$37</c:f>
              <c:numCache>
                <c:formatCode>#,##0.0_i</c:formatCode>
                <c:ptCount val="4"/>
                <c:pt idx="0">
                  <c:v>7.1169999999999991</c:v>
                </c:pt>
                <c:pt idx="1">
                  <c:v>0.85373199999999994</c:v>
                </c:pt>
                <c:pt idx="2">
                  <c:v>0.44806699999999999</c:v>
                </c:pt>
                <c:pt idx="3">
                  <c:v>0.28044000000000002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3-4436-9460-7F0244F0A1F1}"/>
            </c:ext>
          </c:extLst>
        </c:ser>
        <c:ser>
          <c:idx val="2"/>
          <c:order val="2"/>
          <c:tx>
            <c:strRef>
              <c:f>Figure4!$E$4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Figure4!$B$34:$B$37</c:f>
              <c:strCache>
                <c:ptCount val="4"/>
                <c:pt idx="0">
                  <c:v>Serbia (³)</c:v>
                </c:pt>
                <c:pt idx="1">
                  <c:v>Montenegro (³)</c:v>
                </c:pt>
                <c:pt idx="2">
                  <c:v>Bosnia and Herzegovina (³)</c:v>
                </c:pt>
                <c:pt idx="3">
                  <c:v>North Macedonia</c:v>
                </c:pt>
              </c:strCache>
            </c:strRef>
          </c:cat>
          <c:val>
            <c:numRef>
              <c:f>Figure4!$E$34:$E$37</c:f>
              <c:numCache>
                <c:formatCode>#,##0.0_i</c:formatCode>
                <c:ptCount val="4"/>
                <c:pt idx="0">
                  <c:v>7.9379999999999997</c:v>
                </c:pt>
                <c:pt idx="1">
                  <c:v>0.86317900000000003</c:v>
                </c:pt>
                <c:pt idx="2">
                  <c:v>0.42099999999999999</c:v>
                </c:pt>
                <c:pt idx="3">
                  <c:v>0.237648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03-4436-9460-7F0244F0A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558619808"/>
        <c:axId val="558623416"/>
      </c:barChart>
      <c:catAx>
        <c:axId val="55861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8623416"/>
        <c:crosses val="autoZero"/>
        <c:auto val="1"/>
        <c:lblAlgn val="ctr"/>
        <c:lblOffset val="100"/>
        <c:tickMarkSkip val="1"/>
        <c:noMultiLvlLbl val="0"/>
      </c:catAx>
      <c:valAx>
        <c:axId val="55862341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861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826528653455124"/>
          <c:y val="8.1664144923061094E-2"/>
          <c:w val="0.68022627771410515"/>
          <c:h val="0.644316813339509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Figure4!$C$4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Figure4!$B$31:$B$33</c:f>
              <c:strCache>
                <c:ptCount val="3"/>
                <c:pt idx="0">
                  <c:v>Norway</c:v>
                </c:pt>
                <c:pt idx="2">
                  <c:v>Türkiye </c:v>
                </c:pt>
              </c:strCache>
            </c:strRef>
          </c:cat>
          <c:val>
            <c:numRef>
              <c:f>Figure4!$C$31:$C$33</c:f>
              <c:numCache>
                <c:formatCode>#,##0_i</c:formatCode>
                <c:ptCount val="3"/>
                <c:pt idx="0" formatCode="#,##0.0_i">
                  <c:v>66.695442</c:v>
                </c:pt>
                <c:pt idx="2" formatCode="#,##0.0_i">
                  <c:v>27.030999999999999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A-4A25-A6C3-63D0F8852DB0}"/>
            </c:ext>
          </c:extLst>
        </c:ser>
        <c:ser>
          <c:idx val="1"/>
          <c:order val="1"/>
          <c:tx>
            <c:strRef>
              <c:f>Figure4!$D$4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Figure4!$B$31:$B$33</c:f>
              <c:strCache>
                <c:ptCount val="3"/>
                <c:pt idx="0">
                  <c:v>Norway</c:v>
                </c:pt>
                <c:pt idx="2">
                  <c:v>Türkiye </c:v>
                </c:pt>
              </c:strCache>
            </c:strRef>
          </c:cat>
          <c:val>
            <c:numRef>
              <c:f>Figure4!$D$31:$D$33</c:f>
              <c:numCache>
                <c:formatCode>#,##0_i</c:formatCode>
                <c:ptCount val="3"/>
                <c:pt idx="0" formatCode="#,##0.0_i">
                  <c:v>78.219933999999995</c:v>
                </c:pt>
                <c:pt idx="2" formatCode="#,##0.0_i">
                  <c:v>25.61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2A-4A25-A6C3-63D0F8852DB0}"/>
            </c:ext>
          </c:extLst>
        </c:ser>
        <c:ser>
          <c:idx val="2"/>
          <c:order val="2"/>
          <c:tx>
            <c:strRef>
              <c:f>Figure4!$E$4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Figure4!$B$31:$B$33</c:f>
              <c:strCache>
                <c:ptCount val="3"/>
                <c:pt idx="0">
                  <c:v>Norway</c:v>
                </c:pt>
                <c:pt idx="2">
                  <c:v>Türkiye </c:v>
                </c:pt>
              </c:strCache>
            </c:strRef>
          </c:cat>
          <c:val>
            <c:numRef>
              <c:f>Figure4!$E$31:$E$33</c:f>
              <c:numCache>
                <c:formatCode>#,##0_i</c:formatCode>
                <c:ptCount val="3"/>
                <c:pt idx="0" formatCode="#,##0.0_i">
                  <c:v>81.933401000000003</c:v>
                </c:pt>
                <c:pt idx="2" formatCode="#,##0.0_i">
                  <c:v>24.021032000000002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2A-4A25-A6C3-63D0F8852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558619808"/>
        <c:axId val="558623416"/>
      </c:barChart>
      <c:catAx>
        <c:axId val="55861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8623416"/>
        <c:crosses val="autoZero"/>
        <c:auto val="1"/>
        <c:lblAlgn val="ctr"/>
        <c:lblOffset val="100"/>
        <c:tickMarkSkip val="1"/>
        <c:noMultiLvlLbl val="0"/>
      </c:catAx>
      <c:valAx>
        <c:axId val="55862341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861980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Rail passenger transport for main undertakings, 2022, 2023 and 2024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(million passengers)</a:t>
            </a:r>
          </a:p>
        </c:rich>
      </c:tx>
      <c:layout>
        <c:manualLayout>
          <c:xMode val="edge"/>
          <c:yMode val="edge"/>
          <c:x val="4.166666324912539E-3"/>
          <c:y val="6.5800731951682866E-3"/>
        </c:manualLayout>
      </c:layout>
      <c:overlay val="0"/>
    </c:title>
    <c:autoTitleDeleted val="0"/>
    <c:plotArea>
      <c:layout>
        <c:manualLayout>
          <c:xMode val="edge"/>
          <c:yMode val="edge"/>
          <c:x val="4.166666324912539E-3"/>
          <c:y val="6.5800731951682866E-3"/>
          <c:w val="0"/>
          <c:h val="0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Figure4!$A$1:$A$2</c:f>
              <c:strCache>
                <c:ptCount val="2"/>
                <c:pt idx="0">
                  <c:v>Figure 4: Rail passenger transport for main undertakings, 2022, 2023 and 2024</c:v>
                </c:pt>
                <c:pt idx="1">
                  <c:v>(million passengers)</c:v>
                </c:pt>
              </c:strCache>
            </c:strRef>
          </c:cat>
          <c:val>
            <c:numRef>
              <c:f>Figure4!$B$1:$B$2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4E1F-4F7C-BF81-5FE5B7328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4057792"/>
        <c:axId val="1994059712"/>
      </c:barChart>
      <c:catAx>
        <c:axId val="1994057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4059712"/>
        <c:crosses val="autoZero"/>
        <c:auto val="1"/>
        <c:lblAlgn val="ctr"/>
        <c:lblOffset val="100"/>
        <c:noMultiLvlLbl val="0"/>
      </c:catAx>
      <c:valAx>
        <c:axId val="19940597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40577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Figure5!$C$4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Figure5!$B$5:$B$37</c:f>
              <c:strCache>
                <c:ptCount val="33"/>
                <c:pt idx="0">
                  <c:v>Luxembourg</c:v>
                </c:pt>
                <c:pt idx="1">
                  <c:v>Denmark</c:v>
                </c:pt>
                <c:pt idx="2">
                  <c:v>Germany</c:v>
                </c:pt>
                <c:pt idx="3">
                  <c:v>Austria</c:v>
                </c:pt>
                <c:pt idx="4">
                  <c:v>Sweden</c:v>
                </c:pt>
                <c:pt idx="5">
                  <c:v>Netherlands  (¹)</c:v>
                </c:pt>
                <c:pt idx="6">
                  <c:v>France</c:v>
                </c:pt>
                <c:pt idx="7">
                  <c:v>Portugal</c:v>
                </c:pt>
                <c:pt idx="8">
                  <c:v>Czechia</c:v>
                </c:pt>
                <c:pt idx="9">
                  <c:v>Hungary  (²)</c:v>
                </c:pt>
                <c:pt idx="10">
                  <c:v>Finland</c:v>
                </c:pt>
                <c:pt idx="11">
                  <c:v>Slovakia</c:v>
                </c:pt>
                <c:pt idx="12">
                  <c:v>Italy</c:v>
                </c:pt>
                <c:pt idx="13">
                  <c:v>Spain</c:v>
                </c:pt>
                <c:pt idx="14">
                  <c:v>Poland</c:v>
                </c:pt>
                <c:pt idx="15">
                  <c:v>Latvia</c:v>
                </c:pt>
                <c:pt idx="16">
                  <c:v>Ireland</c:v>
                </c:pt>
                <c:pt idx="17">
                  <c:v>Slovenia</c:v>
                </c:pt>
                <c:pt idx="18">
                  <c:v>Estonia</c:v>
                </c:pt>
                <c:pt idx="19">
                  <c:v>Croatia</c:v>
                </c:pt>
                <c:pt idx="20">
                  <c:v>Romania</c:v>
                </c:pt>
                <c:pt idx="21">
                  <c:v>Bulgaria</c:v>
                </c:pt>
                <c:pt idx="22">
                  <c:v>Lithuania</c:v>
                </c:pt>
                <c:pt idx="23">
                  <c:v>Greece</c:v>
                </c:pt>
                <c:pt idx="25">
                  <c:v>Switzerland</c:v>
                </c:pt>
                <c:pt idx="26">
                  <c:v>Norway</c:v>
                </c:pt>
                <c:pt idx="28">
                  <c:v>Montenegro (²)</c:v>
                </c:pt>
                <c:pt idx="29">
                  <c:v>Serbia (²)</c:v>
                </c:pt>
                <c:pt idx="30">
                  <c:v>Türkiye</c:v>
                </c:pt>
                <c:pt idx="31">
                  <c:v>North Macedonia</c:v>
                </c:pt>
                <c:pt idx="32">
                  <c:v>Bosnia and Herzegovina (²)</c:v>
                </c:pt>
              </c:strCache>
            </c:strRef>
          </c:cat>
          <c:val>
            <c:numRef>
              <c:f>Figure5!$C$5:$C$37</c:f>
              <c:numCache>
                <c:formatCode>#,##0.0_i</c:formatCode>
                <c:ptCount val="33"/>
                <c:pt idx="0">
                  <c:v>34.14601090491589</c:v>
                </c:pt>
                <c:pt idx="1">
                  <c:v>31.480295977471389</c:v>
                </c:pt>
                <c:pt idx="2">
                  <c:v>30.105026898815005</c:v>
                </c:pt>
                <c:pt idx="3">
                  <c:v>29.067182400039023</c:v>
                </c:pt>
                <c:pt idx="4">
                  <c:v>23.341407453230985</c:v>
                </c:pt>
                <c:pt idx="5">
                  <c:v>18.131376618244033</c:v>
                </c:pt>
                <c:pt idx="6">
                  <c:v>16.768882267491534</c:v>
                </c:pt>
                <c:pt idx="7">
                  <c:v>16.471680051188372</c:v>
                </c:pt>
                <c:pt idx="8">
                  <c:v>16.576229992905574</c:v>
                </c:pt>
                <c:pt idx="9">
                  <c:v>14.713516176168678</c:v>
                </c:pt>
                <c:pt idx="10">
                  <c:v>13.714099477654269</c:v>
                </c:pt>
                <c:pt idx="11">
                  <c:v>12.273880750258707</c:v>
                </c:pt>
                <c:pt idx="12">
                  <c:v>11.546256875280969</c:v>
                </c:pt>
                <c:pt idx="13">
                  <c:v>11.669640388601955</c:v>
                </c:pt>
                <c:pt idx="14">
                  <c:v>9.031671362685163</c:v>
                </c:pt>
                <c:pt idx="15">
                  <c:v>8.3666450398425809</c:v>
                </c:pt>
                <c:pt idx="16">
                  <c:v>6.9544316302752067</c:v>
                </c:pt>
                <c:pt idx="17">
                  <c:v>6.6006216839567573</c:v>
                </c:pt>
                <c:pt idx="18">
                  <c:v>5.3529219189725756</c:v>
                </c:pt>
                <c:pt idx="19">
                  <c:v>4.8109851500593557</c:v>
                </c:pt>
                <c:pt idx="20">
                  <c:v>3.640084694961863</c:v>
                </c:pt>
                <c:pt idx="21">
                  <c:v>3.5580964025518611</c:v>
                </c:pt>
                <c:pt idx="22">
                  <c:v>1.5910332081491148</c:v>
                </c:pt>
                <c:pt idx="23">
                  <c:v>1.4743186808291033</c:v>
                </c:pt>
                <c:pt idx="25">
                  <c:v>49.578247151121936</c:v>
                </c:pt>
                <c:pt idx="26">
                  <c:v>12.293478849900557</c:v>
                </c:pt>
                <c:pt idx="28" formatCode="#,##0.00_i">
                  <c:v>1.252260463700636</c:v>
                </c:pt>
                <c:pt idx="29" formatCode="#,##0.00_i">
                  <c:v>0.8372682193374974</c:v>
                </c:pt>
                <c:pt idx="30" formatCode="#,##0.00_i">
                  <c:v>0.31921248057384038</c:v>
                </c:pt>
                <c:pt idx="31" formatCode="#,##0.00_i">
                  <c:v>0.22073045004283892</c:v>
                </c:pt>
                <c:pt idx="32" formatCode="#,##0.00_i">
                  <c:v>0.12771563429458166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7-4919-B59A-929C5F18CB7F}"/>
            </c:ext>
          </c:extLst>
        </c:ser>
        <c:ser>
          <c:idx val="1"/>
          <c:order val="1"/>
          <c:tx>
            <c:strRef>
              <c:f>Figure5!$D$4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Figure5!$B$5:$B$37</c:f>
              <c:strCache>
                <c:ptCount val="33"/>
                <c:pt idx="0">
                  <c:v>Luxembourg</c:v>
                </c:pt>
                <c:pt idx="1">
                  <c:v>Denmark</c:v>
                </c:pt>
                <c:pt idx="2">
                  <c:v>Germany</c:v>
                </c:pt>
                <c:pt idx="3">
                  <c:v>Austria</c:v>
                </c:pt>
                <c:pt idx="4">
                  <c:v>Sweden</c:v>
                </c:pt>
                <c:pt idx="5">
                  <c:v>Netherlands  (¹)</c:v>
                </c:pt>
                <c:pt idx="6">
                  <c:v>France</c:v>
                </c:pt>
                <c:pt idx="7">
                  <c:v>Portugal</c:v>
                </c:pt>
                <c:pt idx="8">
                  <c:v>Czechia</c:v>
                </c:pt>
                <c:pt idx="9">
                  <c:v>Hungary  (²)</c:v>
                </c:pt>
                <c:pt idx="10">
                  <c:v>Finland</c:v>
                </c:pt>
                <c:pt idx="11">
                  <c:v>Slovakia</c:v>
                </c:pt>
                <c:pt idx="12">
                  <c:v>Italy</c:v>
                </c:pt>
                <c:pt idx="13">
                  <c:v>Spain</c:v>
                </c:pt>
                <c:pt idx="14">
                  <c:v>Poland</c:v>
                </c:pt>
                <c:pt idx="15">
                  <c:v>Latvia</c:v>
                </c:pt>
                <c:pt idx="16">
                  <c:v>Ireland</c:v>
                </c:pt>
                <c:pt idx="17">
                  <c:v>Slovenia</c:v>
                </c:pt>
                <c:pt idx="18">
                  <c:v>Estonia</c:v>
                </c:pt>
                <c:pt idx="19">
                  <c:v>Croatia</c:v>
                </c:pt>
                <c:pt idx="20">
                  <c:v>Romania</c:v>
                </c:pt>
                <c:pt idx="21">
                  <c:v>Bulgaria</c:v>
                </c:pt>
                <c:pt idx="22">
                  <c:v>Lithuania</c:v>
                </c:pt>
                <c:pt idx="23">
                  <c:v>Greece</c:v>
                </c:pt>
                <c:pt idx="25">
                  <c:v>Switzerland</c:v>
                </c:pt>
                <c:pt idx="26">
                  <c:v>Norway</c:v>
                </c:pt>
                <c:pt idx="28">
                  <c:v>Montenegro (²)</c:v>
                </c:pt>
                <c:pt idx="29">
                  <c:v>Serbia (²)</c:v>
                </c:pt>
                <c:pt idx="30">
                  <c:v>Türkiye</c:v>
                </c:pt>
                <c:pt idx="31">
                  <c:v>North Macedonia</c:v>
                </c:pt>
                <c:pt idx="32">
                  <c:v>Bosnia and Herzegovina (²)</c:v>
                </c:pt>
              </c:strCache>
            </c:strRef>
          </c:cat>
          <c:val>
            <c:numRef>
              <c:f>Figure5!$D$5:$D$37</c:f>
              <c:numCache>
                <c:formatCode>#,##0.0_i</c:formatCode>
                <c:ptCount val="33"/>
                <c:pt idx="0">
                  <c:v>33.349625988750155</c:v>
                </c:pt>
                <c:pt idx="1">
                  <c:v>31.1659840604222</c:v>
                </c:pt>
                <c:pt idx="2">
                  <c:v>30.147991444167165</c:v>
                </c:pt>
                <c:pt idx="3">
                  <c:v>28.66542588875372</c:v>
                </c:pt>
                <c:pt idx="4">
                  <c:v>23.187825070740487</c:v>
                </c:pt>
                <c:pt idx="5">
                  <c:v>17.906792887724983</c:v>
                </c:pt>
                <c:pt idx="6">
                  <c:v>16.723321749673133</c:v>
                </c:pt>
                <c:pt idx="7">
                  <c:v>16.322096707678256</c:v>
                </c:pt>
                <c:pt idx="8">
                  <c:v>16.100382090872259</c:v>
                </c:pt>
                <c:pt idx="9">
                  <c:v>14.72985321275234</c:v>
                </c:pt>
                <c:pt idx="10">
                  <c:v>13.67533056432727</c:v>
                </c:pt>
                <c:pt idx="11">
                  <c:v>12.287265196382545</c:v>
                </c:pt>
                <c:pt idx="12">
                  <c:v>11.55270194936875</c:v>
                </c:pt>
                <c:pt idx="13">
                  <c:v>11.524388493204825</c:v>
                </c:pt>
                <c:pt idx="14">
                  <c:v>9.0650974366252175</c:v>
                </c:pt>
                <c:pt idx="15">
                  <c:v>8.2943650530652935</c:v>
                </c:pt>
                <c:pt idx="16">
                  <c:v>6.7999205143989396</c:v>
                </c:pt>
                <c:pt idx="17">
                  <c:v>6.5700906766834892</c:v>
                </c:pt>
                <c:pt idx="18">
                  <c:v>5.2193304848727999</c:v>
                </c:pt>
                <c:pt idx="19">
                  <c:v>4.8252410998588902</c:v>
                </c:pt>
                <c:pt idx="20">
                  <c:v>3.6377745092667642</c:v>
                </c:pt>
                <c:pt idx="21">
                  <c:v>3.5772860441924341</c:v>
                </c:pt>
                <c:pt idx="22">
                  <c:v>1.5624781479162517</c:v>
                </c:pt>
                <c:pt idx="23">
                  <c:v>1.4808026363018487</c:v>
                </c:pt>
                <c:pt idx="25">
                  <c:v>49.147477960406718</c:v>
                </c:pt>
                <c:pt idx="26">
                  <c:v>12.150780909545373</c:v>
                </c:pt>
                <c:pt idx="28" formatCode="#,##0.00_i">
                  <c:v>1.2542666958545148</c:v>
                </c:pt>
                <c:pt idx="29" formatCode="#,##0.00_i">
                  <c:v>0.85692383466414257</c:v>
                </c:pt>
                <c:pt idx="30" formatCode="#,##0.00_i">
                  <c:v>0.31696929743522462</c:v>
                </c:pt>
                <c:pt idx="31" formatCode="#,##0.00_i">
                  <c:v>0.22159409471494912</c:v>
                </c:pt>
                <c:pt idx="32" formatCode="#,##0.00_i">
                  <c:v>0.12857630229507547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87-4919-B59A-929C5F18CB7F}"/>
            </c:ext>
          </c:extLst>
        </c:ser>
        <c:ser>
          <c:idx val="2"/>
          <c:order val="2"/>
          <c:tx>
            <c:strRef>
              <c:f>Figure5!$E$4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Figure5!$B$5:$B$37</c:f>
              <c:strCache>
                <c:ptCount val="33"/>
                <c:pt idx="0">
                  <c:v>Luxembourg</c:v>
                </c:pt>
                <c:pt idx="1">
                  <c:v>Denmark</c:v>
                </c:pt>
                <c:pt idx="2">
                  <c:v>Germany</c:v>
                </c:pt>
                <c:pt idx="3">
                  <c:v>Austria</c:v>
                </c:pt>
                <c:pt idx="4">
                  <c:v>Sweden</c:v>
                </c:pt>
                <c:pt idx="5">
                  <c:v>Netherlands  (¹)</c:v>
                </c:pt>
                <c:pt idx="6">
                  <c:v>France</c:v>
                </c:pt>
                <c:pt idx="7">
                  <c:v>Portugal</c:v>
                </c:pt>
                <c:pt idx="8">
                  <c:v>Czechia</c:v>
                </c:pt>
                <c:pt idx="9">
                  <c:v>Hungary  (²)</c:v>
                </c:pt>
                <c:pt idx="10">
                  <c:v>Finland</c:v>
                </c:pt>
                <c:pt idx="11">
                  <c:v>Slovakia</c:v>
                </c:pt>
                <c:pt idx="12">
                  <c:v>Italy</c:v>
                </c:pt>
                <c:pt idx="13">
                  <c:v>Spain</c:v>
                </c:pt>
                <c:pt idx="14">
                  <c:v>Poland</c:v>
                </c:pt>
                <c:pt idx="15">
                  <c:v>Latvia</c:v>
                </c:pt>
                <c:pt idx="16">
                  <c:v>Ireland</c:v>
                </c:pt>
                <c:pt idx="17">
                  <c:v>Slovenia</c:v>
                </c:pt>
                <c:pt idx="18">
                  <c:v>Estonia</c:v>
                </c:pt>
                <c:pt idx="19">
                  <c:v>Croatia</c:v>
                </c:pt>
                <c:pt idx="20">
                  <c:v>Romania</c:v>
                </c:pt>
                <c:pt idx="21">
                  <c:v>Bulgaria</c:v>
                </c:pt>
                <c:pt idx="22">
                  <c:v>Lithuania</c:v>
                </c:pt>
                <c:pt idx="23">
                  <c:v>Greece</c:v>
                </c:pt>
                <c:pt idx="25">
                  <c:v>Switzerland</c:v>
                </c:pt>
                <c:pt idx="26">
                  <c:v>Norway</c:v>
                </c:pt>
                <c:pt idx="28">
                  <c:v>Montenegro (²)</c:v>
                </c:pt>
                <c:pt idx="29">
                  <c:v>Serbia (²)</c:v>
                </c:pt>
                <c:pt idx="30">
                  <c:v>Türkiye</c:v>
                </c:pt>
                <c:pt idx="31">
                  <c:v>North Macedonia</c:v>
                </c:pt>
                <c:pt idx="32">
                  <c:v>Bosnia and Herzegovina (²)</c:v>
                </c:pt>
              </c:strCache>
            </c:strRef>
          </c:cat>
          <c:val>
            <c:numRef>
              <c:f>Figure5!$E$5:$E$37</c:f>
              <c:numCache>
                <c:formatCode>#,##0.0_i</c:formatCode>
                <c:ptCount val="33"/>
                <c:pt idx="0">
                  <c:v>32.791805669221041</c:v>
                </c:pt>
                <c:pt idx="1">
                  <c:v>31.016486645667712</c:v>
                </c:pt>
                <c:pt idx="2">
                  <c:v>30.026055715916083</c:v>
                </c:pt>
                <c:pt idx="3">
                  <c:v>28.496483362904325</c:v>
                </c:pt>
                <c:pt idx="4">
                  <c:v>23.121566965420854</c:v>
                </c:pt>
                <c:pt idx="5">
                  <c:v>17.775407121084157</c:v>
                </c:pt>
                <c:pt idx="6">
                  <c:v>16.676876655478562</c:v>
                </c:pt>
                <c:pt idx="7">
                  <c:v>16.133244878674507</c:v>
                </c:pt>
                <c:pt idx="8">
                  <c:v>15.992520931273683</c:v>
                </c:pt>
                <c:pt idx="9">
                  <c:v>14.753085331333185</c:v>
                </c:pt>
                <c:pt idx="10">
                  <c:v>13.578007159719272</c:v>
                </c:pt>
                <c:pt idx="11">
                  <c:v>12.296563285586798</c:v>
                </c:pt>
                <c:pt idx="12">
                  <c:v>11.557789773080874</c:v>
                </c:pt>
                <c:pt idx="13">
                  <c:v>11.39773462174125</c:v>
                </c:pt>
                <c:pt idx="14">
                  <c:v>9.0979621238869424</c:v>
                </c:pt>
                <c:pt idx="15">
                  <c:v>8.3686125431660585</c:v>
                </c:pt>
                <c:pt idx="16">
                  <c:v>6.6979080031115457</c:v>
                </c:pt>
                <c:pt idx="17">
                  <c:v>6.548508462303003</c:v>
                </c:pt>
                <c:pt idx="18">
                  <c:v>5.1859077739150807</c:v>
                </c:pt>
                <c:pt idx="19">
                  <c:v>4.8114062082871243</c:v>
                </c:pt>
                <c:pt idx="20">
                  <c:v>3.6352889848190455</c:v>
                </c:pt>
                <c:pt idx="21">
                  <c:v>3.5785231544395213</c:v>
                </c:pt>
                <c:pt idx="22">
                  <c:v>1.5469870483673847</c:v>
                </c:pt>
                <c:pt idx="23">
                  <c:v>1.4826908137128969</c:v>
                </c:pt>
                <c:pt idx="25">
                  <c:v>48.342051746334462</c:v>
                </c:pt>
                <c:pt idx="26">
                  <c:v>12.016726913560317</c:v>
                </c:pt>
                <c:pt idx="28" formatCode="#,##0.00_i">
                  <c:v>1.2402193432529502</c:v>
                </c:pt>
                <c:pt idx="29" formatCode="#,##0.00_i">
                  <c:v>0.86159806987498277</c:v>
                </c:pt>
                <c:pt idx="30" formatCode="#,##0.00_i">
                  <c:v>0.31662466186223209</c:v>
                </c:pt>
                <c:pt idx="31" formatCode="#,##0.00_i">
                  <c:v>0.22204389658134963</c:v>
                </c:pt>
                <c:pt idx="32" formatCode="#,##0.00_i">
                  <c:v>0.12948331167259616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87-4919-B59A-929C5F18C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558619808"/>
        <c:axId val="558623416"/>
      </c:barChart>
      <c:catAx>
        <c:axId val="55861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8623416"/>
        <c:crosses val="autoZero"/>
        <c:auto val="1"/>
        <c:lblAlgn val="ctr"/>
        <c:lblOffset val="100"/>
        <c:tickMarkSkip val="1"/>
        <c:noMultiLvlLbl val="0"/>
      </c:catAx>
      <c:valAx>
        <c:axId val="55862341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861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Figure5!$B$33:$B$37</c:f>
              <c:strCache>
                <c:ptCount val="5"/>
                <c:pt idx="0">
                  <c:v>Montenegro (²)</c:v>
                </c:pt>
                <c:pt idx="1">
                  <c:v>Serbia (²)</c:v>
                </c:pt>
                <c:pt idx="2">
                  <c:v>Türkiye</c:v>
                </c:pt>
                <c:pt idx="3">
                  <c:v>North Macedonia</c:v>
                </c:pt>
                <c:pt idx="4">
                  <c:v>Bosnia and Herzegovina (²)</c:v>
                </c:pt>
              </c:strCache>
            </c:strRef>
          </c:cat>
          <c:val>
            <c:numRef>
              <c:f>Figure5!$C$33:$C$37</c:f>
              <c:numCache>
                <c:formatCode>#,##0.00_i</c:formatCode>
                <c:ptCount val="5"/>
                <c:pt idx="0">
                  <c:v>1.252260463700636</c:v>
                </c:pt>
                <c:pt idx="1">
                  <c:v>0.8372682193374974</c:v>
                </c:pt>
                <c:pt idx="2">
                  <c:v>0.31921248057384038</c:v>
                </c:pt>
                <c:pt idx="3">
                  <c:v>0.22073045004283892</c:v>
                </c:pt>
                <c:pt idx="4">
                  <c:v>0.12771563429458166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3-47D7-9F6C-4FDAD1AE84CC}"/>
            </c:ext>
          </c:extLst>
        </c:ser>
        <c:ser>
          <c:idx val="1"/>
          <c:order val="1"/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Figure5!$B$33:$B$37</c:f>
              <c:strCache>
                <c:ptCount val="5"/>
                <c:pt idx="0">
                  <c:v>Montenegro (²)</c:v>
                </c:pt>
                <c:pt idx="1">
                  <c:v>Serbia (²)</c:v>
                </c:pt>
                <c:pt idx="2">
                  <c:v>Türkiye</c:v>
                </c:pt>
                <c:pt idx="3">
                  <c:v>North Macedonia</c:v>
                </c:pt>
                <c:pt idx="4">
                  <c:v>Bosnia and Herzegovina (²)</c:v>
                </c:pt>
              </c:strCache>
            </c:strRef>
          </c:cat>
          <c:val>
            <c:numRef>
              <c:f>Figure5!$D$33:$D$37</c:f>
              <c:numCache>
                <c:formatCode>#,##0.00_i</c:formatCode>
                <c:ptCount val="5"/>
                <c:pt idx="0">
                  <c:v>1.2542666958545148</c:v>
                </c:pt>
                <c:pt idx="1">
                  <c:v>0.85692383466414257</c:v>
                </c:pt>
                <c:pt idx="2">
                  <c:v>0.31696929743522462</c:v>
                </c:pt>
                <c:pt idx="3">
                  <c:v>0.22159409471494912</c:v>
                </c:pt>
                <c:pt idx="4">
                  <c:v>0.12857630229507547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E3-47D7-9F6C-4FDAD1AE84CC}"/>
            </c:ext>
          </c:extLst>
        </c:ser>
        <c:ser>
          <c:idx val="2"/>
          <c:order val="2"/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Figure5!$B$33:$B$37</c:f>
              <c:strCache>
                <c:ptCount val="5"/>
                <c:pt idx="0">
                  <c:v>Montenegro (²)</c:v>
                </c:pt>
                <c:pt idx="1">
                  <c:v>Serbia (²)</c:v>
                </c:pt>
                <c:pt idx="2">
                  <c:v>Türkiye</c:v>
                </c:pt>
                <c:pt idx="3">
                  <c:v>North Macedonia</c:v>
                </c:pt>
                <c:pt idx="4">
                  <c:v>Bosnia and Herzegovina (²)</c:v>
                </c:pt>
              </c:strCache>
            </c:strRef>
          </c:cat>
          <c:val>
            <c:numRef>
              <c:f>Figure5!$E$33:$E$37</c:f>
              <c:numCache>
                <c:formatCode>#,##0.00_i</c:formatCode>
                <c:ptCount val="5"/>
                <c:pt idx="0">
                  <c:v>1.2402193432529502</c:v>
                </c:pt>
                <c:pt idx="1">
                  <c:v>0.86159806987498277</c:v>
                </c:pt>
                <c:pt idx="2">
                  <c:v>0.31662466186223209</c:v>
                </c:pt>
                <c:pt idx="3">
                  <c:v>0.22204389658134963</c:v>
                </c:pt>
                <c:pt idx="4">
                  <c:v>0.12948331167259616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E3-47D7-9F6C-4FDAD1AE8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558619808"/>
        <c:axId val="558623416"/>
      </c:barChart>
      <c:catAx>
        <c:axId val="55861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8623416"/>
        <c:crosses val="autoZero"/>
        <c:auto val="1"/>
        <c:lblAlgn val="ctr"/>
        <c:lblOffset val="100"/>
        <c:tickMarkSkip val="1"/>
        <c:noMultiLvlLbl val="0"/>
      </c:catAx>
      <c:valAx>
        <c:axId val="55862341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861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Rail passenger transport for main undertakings, 2022, 2023 and 2024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(passengers per capita)</a:t>
            </a:r>
          </a:p>
        </c:rich>
      </c:tx>
      <c:layout>
        <c:manualLayout>
          <c:xMode val="edge"/>
          <c:yMode val="edge"/>
          <c:x val="3.4654537578514186E-3"/>
          <c:y val="5.6511019597014472E-3"/>
        </c:manualLayout>
      </c:layout>
      <c:overlay val="0"/>
    </c:title>
    <c:autoTitleDeleted val="0"/>
    <c:plotArea>
      <c:layout>
        <c:manualLayout>
          <c:xMode val="edge"/>
          <c:yMode val="edge"/>
          <c:x val="3.4654537578514186E-3"/>
          <c:y val="5.6511019597014472E-3"/>
          <c:w val="0"/>
          <c:h val="0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Figure5!$A$1:$A$2</c:f>
              <c:strCache>
                <c:ptCount val="2"/>
                <c:pt idx="0">
                  <c:v>Figure 5: Rail passenger transport for main undertakings, 2022, 2023 and 2024</c:v>
                </c:pt>
                <c:pt idx="1">
                  <c:v>(passengers per capita)</c:v>
                </c:pt>
              </c:strCache>
            </c:strRef>
          </c:cat>
          <c:val>
            <c:numRef>
              <c:f>Figure5!$B$1:$B$2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2C5B-49DB-9883-71AD8B7FA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0697951"/>
        <c:axId val="370696511"/>
      </c:barChart>
      <c:catAx>
        <c:axId val="3706979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0696511"/>
        <c:crosses val="autoZero"/>
        <c:auto val="1"/>
        <c:lblAlgn val="ctr"/>
        <c:lblOffset val="100"/>
        <c:noMultiLvlLbl val="0"/>
      </c:catAx>
      <c:valAx>
        <c:axId val="3706965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7069795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\DIaLOGIKa\Eurostat%20Layout\Logo\Eurostat%20logo.png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\DIaLOGIKa\Eurostat%20Layout\Logo\Eurostat%20logo.png" TargetMode="External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\DIaLOGIKa\Eurostat%20Layout\Logo\Eurostat%20logo.png" TargetMode="External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\DIaLOGIKa\Eurostat%20Layout\Logo\Eurostat%20logo.png" TargetMode="Externa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87211</xdr:rowOff>
    </xdr:from>
    <xdr:to>
      <xdr:col>16</xdr:col>
      <xdr:colOff>400050</xdr:colOff>
      <xdr:row>30</xdr:row>
      <xdr:rowOff>142878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FBFA2AC9-7821-7CE2-1C75-1194935694C9}"/>
            </a:ext>
          </a:extLst>
        </xdr:cNvPr>
        <xdr:cNvGrpSpPr/>
      </xdr:nvGrpSpPr>
      <xdr:grpSpPr>
        <a:xfrm>
          <a:off x="76200" y="630136"/>
          <a:ext cx="10496550" cy="4427642"/>
          <a:chOff x="561975" y="9488386"/>
          <a:chExt cx="9639300" cy="4427642"/>
        </a:xfrm>
      </xdr:grpSpPr>
      <xdr:sp macro="" textlink="">
        <xdr:nvSpPr>
          <xdr:cNvPr id="2" name="AutoShape 1">
            <a:extLst>
              <a:ext uri="{FF2B5EF4-FFF2-40B4-BE49-F238E27FC236}">
                <a16:creationId xmlns:a16="http://schemas.microsoft.com/office/drawing/2014/main" id="{E0F33361-DCF1-4C31-877A-56051306F49E}"/>
              </a:ext>
            </a:extLst>
          </xdr:cNvPr>
          <xdr:cNvSpPr>
            <a:spLocks noChangeArrowheads="1"/>
          </xdr:cNvSpPr>
        </xdr:nvSpPr>
        <xdr:spPr bwMode="auto">
          <a:xfrm>
            <a:off x="8576596" y="9892728"/>
            <a:ext cx="777908" cy="435627"/>
          </a:xfrm>
          <a:prstGeom prst="star16">
            <a:avLst>
              <a:gd name="adj" fmla="val 37500"/>
            </a:avLst>
          </a:prstGeom>
          <a:solidFill>
            <a:srgbClr val="FFFF99">
              <a:alpha val="50195"/>
            </a:srgbClr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57ABE6B9-AEA4-494A-8AAF-ACC9271413B4}"/>
              </a:ext>
            </a:extLst>
          </xdr:cNvPr>
          <xdr:cNvGrpSpPr/>
        </xdr:nvGrpSpPr>
        <xdr:grpSpPr>
          <a:xfrm>
            <a:off x="561975" y="9488386"/>
            <a:ext cx="9639300" cy="4427642"/>
            <a:chOff x="4199022" y="8153956"/>
            <a:chExt cx="12967126" cy="4160961"/>
          </a:xfrm>
        </xdr:grpSpPr>
        <xdr:graphicFrame macro="">
          <xdr:nvGraphicFramePr>
            <xdr:cNvPr id="4" name="Chart 1">
              <a:extLst>
                <a:ext uri="{FF2B5EF4-FFF2-40B4-BE49-F238E27FC236}">
                  <a16:creationId xmlns:a16="http://schemas.microsoft.com/office/drawing/2014/main" id="{BA627E0A-938F-427E-8CC9-3C7978357E7F}"/>
                </a:ext>
              </a:extLst>
            </xdr:cNvPr>
            <xdr:cNvGraphicFramePr>
              <a:graphicFrameLocks/>
            </xdr:cNvGraphicFramePr>
          </xdr:nvGraphicFramePr>
          <xdr:xfrm>
            <a:off x="4199022" y="8153956"/>
            <a:ext cx="12967126" cy="416096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5" name="Chart 2">
              <a:extLst>
                <a:ext uri="{FF2B5EF4-FFF2-40B4-BE49-F238E27FC236}">
                  <a16:creationId xmlns:a16="http://schemas.microsoft.com/office/drawing/2014/main" id="{729A1862-BF31-438A-B0F9-D3FA87746918}"/>
                </a:ext>
              </a:extLst>
            </xdr:cNvPr>
            <xdr:cNvGraphicFramePr>
              <a:graphicFrameLocks/>
            </xdr:cNvGraphicFramePr>
          </xdr:nvGraphicFramePr>
          <xdr:xfrm>
            <a:off x="5563051" y="9466198"/>
            <a:ext cx="4172767" cy="212366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6" name="Text Box 4">
              <a:extLst>
                <a:ext uri="{FF2B5EF4-FFF2-40B4-BE49-F238E27FC236}">
                  <a16:creationId xmlns:a16="http://schemas.microsoft.com/office/drawing/2014/main" id="{67A40ABE-9455-4229-9F87-21F2504AED5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12281" y="9533490"/>
              <a:ext cx="4127661" cy="34279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0" anchor="t" upright="1"/>
            <a:lstStyle/>
            <a:p>
              <a:pPr algn="ctr" rtl="0">
                <a:defRPr sz="1000"/>
              </a:pPr>
              <a:r>
                <a:rPr lang="en-US" sz="850" b="1" i="0" u="none" strike="noStrike" baseline="0">
                  <a:solidFill>
                    <a:srgbClr val="333333"/>
                  </a:solidFill>
                  <a:latin typeface="Arial"/>
                  <a:cs typeface="Arial"/>
                </a:rPr>
                <a:t>Quarterly performance of EU main undertakings:</a:t>
              </a:r>
            </a:p>
            <a:p>
              <a:pPr algn="ctr" rtl="0">
                <a:defRPr sz="1000"/>
              </a:pPr>
              <a:r>
                <a:rPr lang="en-US" sz="850" b="1" i="0" u="none" strike="noStrike" baseline="0">
                  <a:solidFill>
                    <a:srgbClr val="333333"/>
                  </a:solidFill>
                  <a:latin typeface="Arial"/>
                  <a:cs typeface="Arial"/>
                </a:rPr>
                <a:t>change rate between 2023 and 2024 (%)</a:t>
              </a:r>
            </a:p>
            <a:p>
              <a:pPr algn="ctr" rtl="0">
                <a:defRPr sz="1000"/>
              </a:pPr>
              <a:endParaRPr lang="en-US" sz="850" b="1" i="0" u="none" strike="noStrike" baseline="0">
                <a:solidFill>
                  <a:srgbClr val="333333"/>
                </a:solidFill>
                <a:latin typeface="Arial"/>
                <a:cs typeface="Arial"/>
              </a:endParaRPr>
            </a:p>
          </xdr:txBody>
        </xdr:sp>
        <xdr:graphicFrame macro="">
          <xdr:nvGraphicFramePr>
            <xdr:cNvPr id="7" name="Chart 9">
              <a:extLst>
                <a:ext uri="{FF2B5EF4-FFF2-40B4-BE49-F238E27FC236}">
                  <a16:creationId xmlns:a16="http://schemas.microsoft.com/office/drawing/2014/main" id="{3713F319-D9F8-4720-A54E-32C86E1EDDD2}"/>
                </a:ext>
              </a:extLst>
            </xdr:cNvPr>
            <xdr:cNvGraphicFramePr>
              <a:graphicFrameLocks/>
            </xdr:cNvGraphicFramePr>
          </xdr:nvGraphicFramePr>
          <xdr:xfrm>
            <a:off x="11484975" y="8566250"/>
            <a:ext cx="4501875" cy="53064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  <xdr:twoCellAnchor>
    <xdr:from>
      <xdr:col>0</xdr:col>
      <xdr:colOff>28575</xdr:colOff>
      <xdr:row>2</xdr:row>
      <xdr:rowOff>95250</xdr:rowOff>
    </xdr:from>
    <xdr:to>
      <xdr:col>16</xdr:col>
      <xdr:colOff>581025</xdr:colOff>
      <xdr:row>36</xdr:row>
      <xdr:rowOff>151288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F8674F-F8BD-A69B-702B-DB9E0CA97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0.00829</cdr:x>
      <cdr:y>0.12811</cdr:y>
    </cdr:from>
    <cdr:to>
      <cdr:x>0.98685</cdr:x>
      <cdr:y>0.9244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0C583D4-6EFD-2D44-C027-E5DA7E2FBCE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8900" y="712470"/>
          <a:ext cx="10495238" cy="4428571"/>
        </a:xfrm>
        <a:prstGeom xmlns:a="http://schemas.openxmlformats.org/drawingml/2006/main" prst="rect">
          <a:avLst/>
        </a:prstGeom>
      </cdr:spPr>
    </cdr:pic>
  </cdr:relSizeAnchor>
  <cdr:absSizeAnchor xmlns:cdr="http://schemas.openxmlformats.org/drawingml/2006/chartDrawing">
    <cdr:from>
      <cdr:x>0.00474</cdr:x>
      <cdr:y>0.91282</cdr:y>
    </cdr:from>
    <cdr:ext cx="9195150" cy="484876"/>
    <cdr:sp macro="" textlink="">
      <cdr:nvSpPr>
        <cdr:cNvPr id="3" name="FootonotesShape">
          <a:extLst xmlns:a="http://schemas.openxmlformats.org/drawingml/2006/main">
            <a:ext uri="{FF2B5EF4-FFF2-40B4-BE49-F238E27FC236}">
              <a16:creationId xmlns:a16="http://schemas.microsoft.com/office/drawing/2014/main" id="{5D162B7C-B1EB-D228-A0FC-92716C9393C2}"/>
            </a:ext>
          </a:extLst>
        </cdr:cNvPr>
        <cdr:cNvSpPr txBox="1"/>
      </cdr:nvSpPr>
      <cdr:spPr>
        <a:xfrm xmlns:a="http://schemas.openxmlformats.org/drawingml/2006/main">
          <a:off x="50800" y="5076612"/>
          <a:ext cx="9195150" cy="4848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GB" sz="1200" kern="1200">
              <a:latin typeface="Arial" panose="020B0604020202020204" pitchFamily="34" charset="0"/>
            </a:rPr>
            <a:t>Note: data for Belgium are not included. 2015-2023: based on quarterly data for Hungary.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i="1" kern="1200">
              <a:latin typeface="Arial" panose="020B0604020202020204" pitchFamily="34" charset="0"/>
            </a:rPr>
            <a:t>Source:</a:t>
          </a:r>
          <a:r>
            <a:rPr lang="en-GB" sz="1200" kern="1200">
              <a:latin typeface="Arial" panose="020B0604020202020204" pitchFamily="34" charset="0"/>
            </a:rPr>
            <a:t> Eurostat (online data codes: rail_pa_typepas and rail_pa_quartal)</a:t>
          </a:r>
        </a:p>
      </cdr:txBody>
    </cdr:sp>
  </cdr:absSizeAnchor>
  <cdr:absSizeAnchor xmlns:cdr="http://schemas.openxmlformats.org/drawingml/2006/chartDrawing">
    <cdr:from>
      <cdr:x>0.85734</cdr:x>
      <cdr:y>0.92437</cdr:y>
    </cdr:from>
    <cdr:ext cx="1530098" cy="420624"/>
    <cdr:pic>
      <cdr:nvPicPr>
        <cdr:cNvPr id="5" name="LogoShape">
          <a:extLst xmlns:a="http://schemas.openxmlformats.org/drawingml/2006/main">
            <a:ext uri="{FF2B5EF4-FFF2-40B4-BE49-F238E27FC236}">
              <a16:creationId xmlns:a16="http://schemas.microsoft.com/office/drawing/2014/main" id="{3BCF56F3-DBF5-FB5E-0E2B-43D578B92DA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2"/>
        <a:stretch xmlns:a="http://schemas.openxmlformats.org/drawingml/2006/main">
          <a:fillRect/>
        </a:stretch>
      </cdr:blipFill>
      <cdr:spPr>
        <a:xfrm xmlns:a="http://schemas.openxmlformats.org/drawingml/2006/main">
          <a:off x="9195051" y="5140864"/>
          <a:ext cx="1530098" cy="420624"/>
        </a:xfrm>
        <a:prstGeom xmlns:a="http://schemas.openxmlformats.org/drawingml/2006/main" prst="rect">
          <a:avLst/>
        </a:prstGeom>
      </cdr:spPr>
    </cdr:pic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600074</xdr:colOff>
      <xdr:row>0</xdr:row>
      <xdr:rowOff>66675</xdr:rowOff>
    </xdr:from>
    <xdr:to>
      <xdr:col>24</xdr:col>
      <xdr:colOff>247650</xdr:colOff>
      <xdr:row>40</xdr:row>
      <xdr:rowOff>114300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824CB86E-9145-FDF3-341B-A6E298EB4F64}"/>
            </a:ext>
          </a:extLst>
        </xdr:cNvPr>
        <xdr:cNvGrpSpPr/>
      </xdr:nvGrpSpPr>
      <xdr:grpSpPr>
        <a:xfrm>
          <a:off x="6591299" y="66675"/>
          <a:ext cx="10401301" cy="6648450"/>
          <a:chOff x="6172199" y="-234423"/>
          <a:chExt cx="10304093" cy="5977998"/>
        </a:xfrm>
      </xdr:grpSpPr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AFE4FA56-5E8F-3A5A-1B2C-898BF9BAA7D1}"/>
              </a:ext>
            </a:extLst>
          </xdr:cNvPr>
          <xdr:cNvGrpSpPr/>
        </xdr:nvGrpSpPr>
        <xdr:grpSpPr>
          <a:xfrm>
            <a:off x="6172199" y="31076"/>
            <a:ext cx="10115373" cy="5712499"/>
            <a:chOff x="6172199" y="31076"/>
            <a:chExt cx="10115373" cy="5712499"/>
          </a:xfrm>
        </xdr:grpSpPr>
        <xdr:grpSp>
          <xdr:nvGrpSpPr>
            <xdr:cNvPr id="4" name="Group 3">
              <a:extLst>
                <a:ext uri="{FF2B5EF4-FFF2-40B4-BE49-F238E27FC236}">
                  <a16:creationId xmlns:a16="http://schemas.microsoft.com/office/drawing/2014/main" id="{447B9EC5-23D6-674C-68CC-31257465B7AF}"/>
                </a:ext>
              </a:extLst>
            </xdr:cNvPr>
            <xdr:cNvGrpSpPr/>
          </xdr:nvGrpSpPr>
          <xdr:grpSpPr>
            <a:xfrm>
              <a:off x="6172199" y="1007425"/>
              <a:ext cx="9525000" cy="4736150"/>
              <a:chOff x="6515099" y="254950"/>
              <a:chExt cx="9525000" cy="4736150"/>
            </a:xfrm>
          </xdr:grpSpPr>
          <xdr:graphicFrame macro="">
            <xdr:nvGraphicFramePr>
              <xdr:cNvPr id="3" name="Chart 2">
                <a:extLst>
                  <a:ext uri="{FF2B5EF4-FFF2-40B4-BE49-F238E27FC236}">
                    <a16:creationId xmlns:a16="http://schemas.microsoft.com/office/drawing/2014/main" id="{4EDFB371-24B5-47CB-9602-E797026D7BF2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515099" y="362904"/>
              <a:ext cx="9525000" cy="462819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graphicFrame macro="">
            <xdr:nvGraphicFramePr>
              <xdr:cNvPr id="2" name="Chart 1">
                <a:extLst>
                  <a:ext uri="{FF2B5EF4-FFF2-40B4-BE49-F238E27FC236}">
                    <a16:creationId xmlns:a16="http://schemas.microsoft.com/office/drawing/2014/main" id="{CCA03CD1-9B19-4F44-BEFC-90AC8440D19E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1327451" y="254950"/>
              <a:ext cx="2387303" cy="224184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</xdr:grpSp>
        <xdr:sp macro="" textlink="">
          <xdr:nvSpPr>
            <xdr:cNvPr id="5" name="Oval 4">
              <a:extLst>
                <a:ext uri="{FF2B5EF4-FFF2-40B4-BE49-F238E27FC236}">
                  <a16:creationId xmlns:a16="http://schemas.microsoft.com/office/drawing/2014/main" id="{E6817B07-D675-4B02-B410-1D3A927B8137}"/>
                </a:ext>
              </a:extLst>
            </xdr:cNvPr>
            <xdr:cNvSpPr/>
          </xdr:nvSpPr>
          <xdr:spPr bwMode="auto">
            <a:xfrm>
              <a:off x="10437264" y="553508"/>
              <a:ext cx="3283721" cy="2697808"/>
            </a:xfrm>
            <a:prstGeom prst="ellipse">
              <a:avLst/>
            </a:pr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8" name="Left Brace 7">
              <a:extLst>
                <a:ext uri="{FF2B5EF4-FFF2-40B4-BE49-F238E27FC236}">
                  <a16:creationId xmlns:a16="http://schemas.microsoft.com/office/drawing/2014/main" id="{74BDA924-6A0F-4592-9DF1-2DF5C824C661}"/>
                </a:ext>
              </a:extLst>
            </xdr:cNvPr>
            <xdr:cNvSpPr/>
          </xdr:nvSpPr>
          <xdr:spPr bwMode="auto">
            <a:xfrm rot="5400000">
              <a:off x="11785451" y="2625762"/>
              <a:ext cx="162725" cy="2047607"/>
            </a:xfrm>
            <a:prstGeom prst="leftBrace">
              <a:avLst/>
            </a:pr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en-GB" sz="1100"/>
            </a:p>
          </xdr:txBody>
        </xdr: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665E33D9-F33B-4DE5-9431-05E0F77FE2A8}"/>
                </a:ext>
              </a:extLst>
            </xdr:cNvPr>
            <xdr:cNvCxnSpPr>
              <a:stCxn id="8" idx="1"/>
              <a:endCxn id="2" idx="2"/>
            </xdr:cNvCxnSpPr>
          </xdr:nvCxnSpPr>
          <xdr:spPr bwMode="auto">
            <a:xfrm flipV="1">
              <a:off x="11866814" y="3249265"/>
              <a:ext cx="311387" cy="318939"/>
            </a:xfrm>
            <a:prstGeom prst="line">
              <a:avLst/>
            </a:prstGeom>
            <a:solidFill>
              <a:srgbClr val="D1BBA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C00EC5F7-85BF-4F45-BEE6-E7BE309FEB93}"/>
                </a:ext>
              </a:extLst>
            </xdr:cNvPr>
            <xdr:cNvGraphicFramePr>
              <a:graphicFrameLocks/>
            </xdr:cNvGraphicFramePr>
          </xdr:nvGraphicFramePr>
          <xdr:xfrm>
            <a:off x="14563726" y="31076"/>
            <a:ext cx="1723846" cy="373892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">
          <xdr:nvSpPr>
            <xdr:cNvPr id="15" name="Left Brace 14">
              <a:extLst>
                <a:ext uri="{FF2B5EF4-FFF2-40B4-BE49-F238E27FC236}">
                  <a16:creationId xmlns:a16="http://schemas.microsoft.com/office/drawing/2014/main" id="{9A33D20C-6BD2-46B9-9C3C-10AE852C0B2F}"/>
                </a:ext>
              </a:extLst>
            </xdr:cNvPr>
            <xdr:cNvSpPr/>
          </xdr:nvSpPr>
          <xdr:spPr bwMode="auto">
            <a:xfrm rot="5400000">
              <a:off x="14663664" y="3214766"/>
              <a:ext cx="104922" cy="933450"/>
            </a:xfrm>
            <a:prstGeom prst="leftBrace">
              <a:avLst/>
            </a:pr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en-GB" sz="1100"/>
            </a:p>
          </xdr:txBody>
        </xdr: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606A8261-97DC-4300-9685-1C4EED716843}"/>
                </a:ext>
              </a:extLst>
            </xdr:cNvPr>
            <xdr:cNvCxnSpPr>
              <a:stCxn id="15" idx="1"/>
              <a:endCxn id="14" idx="4"/>
            </xdr:cNvCxnSpPr>
          </xdr:nvCxnSpPr>
          <xdr:spPr bwMode="auto">
            <a:xfrm flipV="1">
              <a:off x="14716125" y="3379782"/>
              <a:ext cx="561040" cy="249249"/>
            </a:xfrm>
            <a:prstGeom prst="line">
              <a:avLst/>
            </a:prstGeom>
            <a:solidFill>
              <a:srgbClr val="D1BBA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</xdr:grp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96168102-7AA8-422B-8099-B857A66E2E62}"/>
              </a:ext>
            </a:extLst>
          </xdr:cNvPr>
          <xdr:cNvSpPr/>
        </xdr:nvSpPr>
        <xdr:spPr bwMode="auto">
          <a:xfrm>
            <a:off x="14078039" y="-234423"/>
            <a:ext cx="2398253" cy="3614205"/>
          </a:xfrm>
          <a:prstGeom prst="ellipse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7</xdr:col>
      <xdr:colOff>406400</xdr:colOff>
      <xdr:row>0</xdr:row>
      <xdr:rowOff>9525</xdr:rowOff>
    </xdr:from>
    <xdr:to>
      <xdr:col>24</xdr:col>
      <xdr:colOff>282576</xdr:colOff>
      <xdr:row>50</xdr:row>
      <xdr:rowOff>141325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DFCCD7C-38E1-E3E6-7DC5-3718CDB29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0.00836</cdr:x>
      <cdr:y>0.08531</cdr:y>
    </cdr:from>
    <cdr:to>
      <cdr:x>0.98763</cdr:x>
      <cdr:y>0.88125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077671CB-2E0C-E101-EAA0-3F5361558A0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8900" y="712470"/>
          <a:ext cx="10409524" cy="6647619"/>
        </a:xfrm>
        <a:prstGeom xmlns:a="http://schemas.openxmlformats.org/drawingml/2006/main" prst="rect">
          <a:avLst/>
        </a:prstGeom>
      </cdr:spPr>
    </cdr:pic>
  </cdr:relSizeAnchor>
  <cdr:absSizeAnchor xmlns:cdr="http://schemas.openxmlformats.org/drawingml/2006/chartDrawing">
    <cdr:from>
      <cdr:x>0.00478</cdr:x>
      <cdr:y>0.87375</cdr:y>
    </cdr:from>
    <cdr:ext cx="9099901" cy="1054456"/>
    <cdr:sp macro="" textlink="">
      <cdr:nvSpPr>
        <cdr:cNvPr id="3" name="FootonotesShape">
          <a:extLst xmlns:a="http://schemas.openxmlformats.org/drawingml/2006/main">
            <a:ext uri="{FF2B5EF4-FFF2-40B4-BE49-F238E27FC236}">
              <a16:creationId xmlns:a16="http://schemas.microsoft.com/office/drawing/2014/main" id="{B3B30B5B-A7F4-F1FE-AA28-24376DC6C404}"/>
            </a:ext>
          </a:extLst>
        </cdr:cNvPr>
        <cdr:cNvSpPr txBox="1"/>
      </cdr:nvSpPr>
      <cdr:spPr>
        <a:xfrm xmlns:a="http://schemas.openxmlformats.org/drawingml/2006/main">
          <a:off x="50800" y="7297419"/>
          <a:ext cx="9099901" cy="10544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GB" sz="1200" kern="1200">
              <a:latin typeface="Arial" panose="020B0604020202020204" pitchFamily="34" charset="0"/>
            </a:rPr>
            <a:t>Note: countries are ranked based on 2024 data. Data for Belgium are confidential. Cyprus and Malta have no railways. 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kern="1200">
              <a:latin typeface="Arial" panose="020B0604020202020204" pitchFamily="34" charset="0"/>
            </a:rPr>
            <a:t>(¹) 2024: break in time series due to methodological improvements.</a:t>
          </a:r>
        </a:p>
        <a:p xmlns:a="http://schemas.openxmlformats.org/drawingml/2006/main">
          <a:r>
            <a:rPr lang="en-GB" sz="1200" kern="1200">
              <a:latin typeface="Arial" panose="020B0604020202020204" pitchFamily="34" charset="0"/>
            </a:rPr>
            <a:t>(²) 2022-2023: based on quarterly data.</a:t>
          </a:r>
        </a:p>
        <a:p xmlns:a="http://schemas.openxmlformats.org/drawingml/2006/main">
          <a:r>
            <a:rPr lang="en-GB" sz="1200" kern="1200">
              <a:latin typeface="Arial" panose="020B0604020202020204" pitchFamily="34" charset="0"/>
            </a:rPr>
            <a:t>(³) Based on quarterly data.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i="1" kern="1200">
              <a:latin typeface="Arial" panose="020B0604020202020204" pitchFamily="34" charset="0"/>
            </a:rPr>
            <a:t>Source:</a:t>
          </a:r>
          <a:r>
            <a:rPr lang="en-GB" sz="1200" kern="1200">
              <a:latin typeface="Arial" panose="020B0604020202020204" pitchFamily="34" charset="0"/>
            </a:rPr>
            <a:t> Eurostat (online data codes: rail_pa_typepas and rail_pa_quartal)</a:t>
          </a:r>
        </a:p>
      </cdr:txBody>
    </cdr:sp>
  </cdr:absSizeAnchor>
  <cdr:absSizeAnchor xmlns:cdr="http://schemas.openxmlformats.org/drawingml/2006/chartDrawing">
    <cdr:from>
      <cdr:x>0.85606</cdr:x>
      <cdr:y>0.94964</cdr:y>
    </cdr:from>
    <cdr:ext cx="1530098" cy="420625"/>
    <cdr:pic>
      <cdr:nvPicPr>
        <cdr:cNvPr id="5" name="LogoShape">
          <a:extLst xmlns:a="http://schemas.openxmlformats.org/drawingml/2006/main">
            <a:ext uri="{FF2B5EF4-FFF2-40B4-BE49-F238E27FC236}">
              <a16:creationId xmlns:a16="http://schemas.microsoft.com/office/drawing/2014/main" id="{C5727862-5D52-E60F-18D8-05F7872D585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2"/>
        <a:stretch xmlns:a="http://schemas.openxmlformats.org/drawingml/2006/main">
          <a:fillRect/>
        </a:stretch>
      </cdr:blipFill>
      <cdr:spPr>
        <a:xfrm xmlns:a="http://schemas.openxmlformats.org/drawingml/2006/main">
          <a:off x="9099802" y="7931250"/>
          <a:ext cx="1530098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95243</xdr:colOff>
      <xdr:row>2</xdr:row>
      <xdr:rowOff>28579</xdr:rowOff>
    </xdr:from>
    <xdr:to>
      <xdr:col>13</xdr:col>
      <xdr:colOff>342900</xdr:colOff>
      <xdr:row>38</xdr:row>
      <xdr:rowOff>1319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</cdr:x>
      <cdr:y>0.82033</cdr:y>
    </cdr:from>
    <cdr:ext cx="7995000" cy="1054456"/>
    <cdr:sp macro="" textlink="">
      <cdr:nvSpPr>
        <cdr:cNvPr id="3" name="FootonotesShape">
          <a:extLst xmlns:a="http://schemas.openxmlformats.org/drawingml/2006/main">
            <a:ext uri="{FF2B5EF4-FFF2-40B4-BE49-F238E27FC236}">
              <a16:creationId xmlns:a16="http://schemas.microsoft.com/office/drawing/2014/main" id="{FAE7F761-51CD-3BE5-4409-D6E5E5EA8E62}"/>
            </a:ext>
          </a:extLst>
        </cdr:cNvPr>
        <cdr:cNvSpPr txBox="1"/>
      </cdr:nvSpPr>
      <cdr:spPr>
        <a:xfrm xmlns:a="http://schemas.openxmlformats.org/drawingml/2006/main">
          <a:off x="0" y="4814259"/>
          <a:ext cx="7995000" cy="10544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GB" sz="1200" kern="1200">
              <a:latin typeface="Arial" panose="020B0604020202020204" pitchFamily="34" charset="0"/>
            </a:rPr>
            <a:t>Note: Cyprus and Malta have no railways. Data are not available for Bosnia and Herzegovina, Montenegro and Serbia.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kern="1200">
              <a:latin typeface="Arial" panose="020B0604020202020204" pitchFamily="34" charset="0"/>
            </a:rPr>
            <a:t>(¹) No international tansport.</a:t>
          </a:r>
        </a:p>
        <a:p xmlns:a="http://schemas.openxmlformats.org/drawingml/2006/main">
          <a:r>
            <a:rPr lang="en-GB" sz="1200" kern="1200">
              <a:latin typeface="Arial" panose="020B0604020202020204" pitchFamily="34" charset="0"/>
            </a:rPr>
            <a:t>(²) International transport is less than 0.5 %.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i="1" kern="1200">
              <a:latin typeface="Arial" panose="020B0604020202020204" pitchFamily="34" charset="0"/>
            </a:rPr>
            <a:t>Source:</a:t>
          </a:r>
          <a:r>
            <a:rPr lang="en-GB" sz="1200" kern="1200">
              <a:latin typeface="Arial" panose="020B0604020202020204" pitchFamily="34" charset="0"/>
            </a:rPr>
            <a:t> Eurostat (online data code: rail_pa_typepas)</a:t>
          </a:r>
        </a:p>
      </cdr:txBody>
    </cdr:sp>
  </cdr:absSizeAnchor>
  <cdr:absSizeAnchor xmlns:cdr="http://schemas.openxmlformats.org/drawingml/2006/chartDrawing">
    <cdr:from>
      <cdr:x>0.83936</cdr:x>
      <cdr:y>0.92833</cdr:y>
    </cdr:from>
    <cdr:ext cx="1530099" cy="420625"/>
    <cdr:pic>
      <cdr:nvPicPr>
        <cdr:cNvPr id="5" name="LogoShape">
          <a:extLst xmlns:a="http://schemas.openxmlformats.org/drawingml/2006/main">
            <a:ext uri="{FF2B5EF4-FFF2-40B4-BE49-F238E27FC236}">
              <a16:creationId xmlns:a16="http://schemas.microsoft.com/office/drawing/2014/main" id="{0592E3FC-013F-6D06-2129-048BA9AE67E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448090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371474</xdr:colOff>
      <xdr:row>3</xdr:row>
      <xdr:rowOff>38100</xdr:rowOff>
    </xdr:from>
    <xdr:to>
      <xdr:col>26</xdr:col>
      <xdr:colOff>457200</xdr:colOff>
      <xdr:row>44</xdr:row>
      <xdr:rowOff>38100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6A8FAAAA-DE0C-26FD-0B8E-57DE18030AF7}"/>
            </a:ext>
          </a:extLst>
        </xdr:cNvPr>
        <xdr:cNvGrpSpPr/>
      </xdr:nvGrpSpPr>
      <xdr:grpSpPr>
        <a:xfrm>
          <a:off x="6315074" y="581025"/>
          <a:ext cx="11963401" cy="6705600"/>
          <a:chOff x="5743574" y="1045920"/>
          <a:chExt cx="11963401" cy="6383580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E26AC316-5B16-4E4C-BEF5-9F2E7D760191}"/>
              </a:ext>
            </a:extLst>
          </xdr:cNvPr>
          <xdr:cNvGrpSpPr/>
        </xdr:nvGrpSpPr>
        <xdr:grpSpPr>
          <a:xfrm>
            <a:off x="5743574" y="1365052"/>
            <a:ext cx="11410950" cy="6064448"/>
            <a:chOff x="6172199" y="15526"/>
            <a:chExt cx="11410950" cy="5728049"/>
          </a:xfrm>
        </xdr:grpSpPr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28A5F965-55C2-1CE9-577E-CD0652AB2105}"/>
                </a:ext>
              </a:extLst>
            </xdr:cNvPr>
            <xdr:cNvGrpSpPr/>
          </xdr:nvGrpSpPr>
          <xdr:grpSpPr>
            <a:xfrm>
              <a:off x="6172199" y="830089"/>
              <a:ext cx="9525000" cy="4913486"/>
              <a:chOff x="6515099" y="77614"/>
              <a:chExt cx="9525000" cy="4913486"/>
            </a:xfrm>
          </xdr:grpSpPr>
          <xdr:graphicFrame macro="">
            <xdr:nvGraphicFramePr>
              <xdr:cNvPr id="10" name="Chart 9">
                <a:extLst>
                  <a:ext uri="{FF2B5EF4-FFF2-40B4-BE49-F238E27FC236}">
                    <a16:creationId xmlns:a16="http://schemas.microsoft.com/office/drawing/2014/main" id="{CC22CC9F-C082-61F2-DCE9-2F7A615C41F3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515099" y="362904"/>
              <a:ext cx="9525000" cy="462819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graphicFrame macro="">
            <xdr:nvGraphicFramePr>
              <xdr:cNvPr id="11" name="Chart 10">
                <a:extLst>
                  <a:ext uri="{FF2B5EF4-FFF2-40B4-BE49-F238E27FC236}">
                    <a16:creationId xmlns:a16="http://schemas.microsoft.com/office/drawing/2014/main" id="{2947F0FA-C17F-60F7-53CD-85CC2C3FC145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0153650" y="77614"/>
              <a:ext cx="3752849" cy="24669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</xdr:grpSp>
        <xdr:sp macro="" textlink="">
          <xdr:nvSpPr>
            <xdr:cNvPr id="4" name="Oval 3">
              <a:extLst>
                <a:ext uri="{FF2B5EF4-FFF2-40B4-BE49-F238E27FC236}">
                  <a16:creationId xmlns:a16="http://schemas.microsoft.com/office/drawing/2014/main" id="{31EDEFF1-BECD-D003-B3DC-01BD34C0322D}"/>
                </a:ext>
              </a:extLst>
            </xdr:cNvPr>
            <xdr:cNvSpPr/>
          </xdr:nvSpPr>
          <xdr:spPr bwMode="auto">
            <a:xfrm>
              <a:off x="9334500" y="255625"/>
              <a:ext cx="4591050" cy="3127311"/>
            </a:xfrm>
            <a:prstGeom prst="ellipse">
              <a:avLst/>
            </a:pr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" name="Left Brace 4">
              <a:extLst>
                <a:ext uri="{FF2B5EF4-FFF2-40B4-BE49-F238E27FC236}">
                  <a16:creationId xmlns:a16="http://schemas.microsoft.com/office/drawing/2014/main" id="{AACDCC0F-B1AB-D082-736C-954685FCDB62}"/>
                </a:ext>
              </a:extLst>
            </xdr:cNvPr>
            <xdr:cNvSpPr/>
          </xdr:nvSpPr>
          <xdr:spPr bwMode="auto">
            <a:xfrm rot="5400000">
              <a:off x="11275684" y="2153511"/>
              <a:ext cx="165757" cy="3057526"/>
            </a:xfrm>
            <a:prstGeom prst="leftBrace">
              <a:avLst/>
            </a:pr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en-GB" sz="1100"/>
            </a:p>
          </xdr:txBody>
        </xdr: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68EB41FB-F21B-62B8-EAB0-3C7C542AF698}"/>
                </a:ext>
              </a:extLst>
            </xdr:cNvPr>
            <xdr:cNvCxnSpPr>
              <a:stCxn id="5" idx="1"/>
              <a:endCxn id="4" idx="4"/>
            </xdr:cNvCxnSpPr>
          </xdr:nvCxnSpPr>
          <xdr:spPr bwMode="auto">
            <a:xfrm flipV="1">
              <a:off x="11358562" y="3382936"/>
              <a:ext cx="271463" cy="216460"/>
            </a:xfrm>
            <a:prstGeom prst="line">
              <a:avLst/>
            </a:prstGeom>
            <a:solidFill>
              <a:srgbClr val="D1BBA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63157830-61FB-26DC-0CCE-1975BE32F1DF}"/>
                </a:ext>
              </a:extLst>
            </xdr:cNvPr>
            <xdr:cNvGraphicFramePr>
              <a:graphicFrameLocks/>
            </xdr:cNvGraphicFramePr>
          </xdr:nvGraphicFramePr>
          <xdr:xfrm>
            <a:off x="15982950" y="15526"/>
            <a:ext cx="1600199" cy="476540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">
          <xdr:nvSpPr>
            <xdr:cNvPr id="8" name="Left Brace 7">
              <a:extLst>
                <a:ext uri="{FF2B5EF4-FFF2-40B4-BE49-F238E27FC236}">
                  <a16:creationId xmlns:a16="http://schemas.microsoft.com/office/drawing/2014/main" id="{FD365B26-DC0D-8B77-823A-14BD42586663}"/>
                </a:ext>
              </a:extLst>
            </xdr:cNvPr>
            <xdr:cNvSpPr/>
          </xdr:nvSpPr>
          <xdr:spPr bwMode="auto">
            <a:xfrm rot="5400000">
              <a:off x="14725649" y="3305179"/>
              <a:ext cx="171451" cy="819150"/>
            </a:xfrm>
            <a:prstGeom prst="leftBrace">
              <a:avLst/>
            </a:pr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en-GB" sz="1100"/>
            </a:p>
          </xdr:txBody>
        </xdr: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F95D8478-DE08-CE3B-D31D-B6FAA1B49462}"/>
                </a:ext>
              </a:extLst>
            </xdr:cNvPr>
            <xdr:cNvCxnSpPr>
              <a:stCxn id="8" idx="1"/>
            </xdr:cNvCxnSpPr>
          </xdr:nvCxnSpPr>
          <xdr:spPr bwMode="auto">
            <a:xfrm flipV="1">
              <a:off x="14811374" y="3107559"/>
              <a:ext cx="847726" cy="521470"/>
            </a:xfrm>
            <a:prstGeom prst="line">
              <a:avLst/>
            </a:prstGeom>
            <a:solidFill>
              <a:srgbClr val="D1BBA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</xdr:grp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6447C359-8C6E-4C74-930C-14B09183B836}"/>
              </a:ext>
            </a:extLst>
          </xdr:cNvPr>
          <xdr:cNvSpPr/>
        </xdr:nvSpPr>
        <xdr:spPr bwMode="auto">
          <a:xfrm>
            <a:off x="15030450" y="1045920"/>
            <a:ext cx="2676525" cy="5340807"/>
          </a:xfrm>
          <a:prstGeom prst="ellipse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lang="en-GB" sz="1100"/>
          </a:p>
        </xdr:txBody>
      </xdr:sp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3F115EC2-C9F4-409A-976D-8A0B296DF115}"/>
              </a:ext>
            </a:extLst>
          </xdr:cNvPr>
          <xdr:cNvGraphicFramePr>
            <a:graphicFrameLocks/>
          </xdr:cNvGraphicFramePr>
        </xdr:nvGraphicFramePr>
        <xdr:xfrm>
          <a:off x="13725525" y="2133600"/>
          <a:ext cx="1076325" cy="23812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94DB580D-DEDF-4B14-BA76-0DD880604423}"/>
              </a:ext>
            </a:extLst>
          </xdr:cNvPr>
          <xdr:cNvSpPr/>
        </xdr:nvSpPr>
        <xdr:spPr bwMode="auto">
          <a:xfrm>
            <a:off x="13544550" y="1781175"/>
            <a:ext cx="1476375" cy="2819400"/>
          </a:xfrm>
          <a:prstGeom prst="ellipse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lang="en-GB" sz="1100"/>
          </a:p>
        </xdr:txBody>
      </xdr:sp>
      <xdr:sp macro="" textlink="">
        <xdr:nvSpPr>
          <xdr:cNvPr id="20" name="Left Brace 19">
            <a:extLst>
              <a:ext uri="{FF2B5EF4-FFF2-40B4-BE49-F238E27FC236}">
                <a16:creationId xmlns:a16="http://schemas.microsoft.com/office/drawing/2014/main" id="{6F61190D-E0BC-4CA7-A43D-601B5340D10B}"/>
              </a:ext>
            </a:extLst>
          </xdr:cNvPr>
          <xdr:cNvSpPr/>
        </xdr:nvSpPr>
        <xdr:spPr bwMode="auto">
          <a:xfrm rot="5400000">
            <a:off x="13334999" y="4847310"/>
            <a:ext cx="123825" cy="790575"/>
          </a:xfrm>
          <a:prstGeom prst="leftBrace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lang="en-GB" sz="1100"/>
          </a:p>
        </xdr:txBody>
      </xdr: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4C61FB54-C4D6-4BEF-BCD2-BA00CEE775C0}"/>
              </a:ext>
            </a:extLst>
          </xdr:cNvPr>
          <xdr:cNvCxnSpPr>
            <a:stCxn id="20" idx="1"/>
          </xdr:cNvCxnSpPr>
        </xdr:nvCxnSpPr>
        <xdr:spPr bwMode="auto">
          <a:xfrm flipV="1">
            <a:off x="13396911" y="4476750"/>
            <a:ext cx="576264" cy="703935"/>
          </a:xfrm>
          <a:prstGeom prst="line">
            <a:avLst/>
          </a:prstGeom>
          <a:solidFill>
            <a:srgbClr val="D1BBA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7</xdr:col>
      <xdr:colOff>168275</xdr:colOff>
      <xdr:row>1</xdr:row>
      <xdr:rowOff>76200</xdr:rowOff>
    </xdr:from>
    <xdr:to>
      <xdr:col>26</xdr:col>
      <xdr:colOff>482601</xdr:colOff>
      <xdr:row>52</xdr:row>
      <xdr:rowOff>141325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E5A3E57-069A-05CD-F920-03EA2DDFB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0.00729</cdr:x>
      <cdr:y>0.08473</cdr:y>
    </cdr:from>
    <cdr:to>
      <cdr:x>0.98998</cdr:x>
      <cdr:y>0.88206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1A7F4D4E-853C-8FE4-CC7D-7218E44B65B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8900" y="712470"/>
          <a:ext cx="11980952" cy="6704762"/>
        </a:xfrm>
        <a:prstGeom xmlns:a="http://schemas.openxmlformats.org/drawingml/2006/main" prst="rect">
          <a:avLst/>
        </a:prstGeom>
      </cdr:spPr>
    </cdr:pic>
  </cdr:relSizeAnchor>
  <cdr:absSizeAnchor xmlns:cdr="http://schemas.openxmlformats.org/drawingml/2006/chartDrawing">
    <cdr:from>
      <cdr:x>0.00417</cdr:x>
      <cdr:y>0.8746</cdr:y>
    </cdr:from>
    <cdr:ext cx="10662001" cy="1054455"/>
    <cdr:sp macro="" textlink="">
      <cdr:nvSpPr>
        <cdr:cNvPr id="3" name="FootonotesShape">
          <a:extLst xmlns:a="http://schemas.openxmlformats.org/drawingml/2006/main">
            <a:ext uri="{FF2B5EF4-FFF2-40B4-BE49-F238E27FC236}">
              <a16:creationId xmlns:a16="http://schemas.microsoft.com/office/drawing/2014/main" id="{1B5D8357-DD1C-9714-AC5A-139FB6F7B890}"/>
            </a:ext>
          </a:extLst>
        </cdr:cNvPr>
        <cdr:cNvSpPr txBox="1"/>
      </cdr:nvSpPr>
      <cdr:spPr>
        <a:xfrm xmlns:a="http://schemas.openxmlformats.org/drawingml/2006/main">
          <a:off x="50800" y="7354570"/>
          <a:ext cx="10662001" cy="10544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GB" sz="1200" kern="1200">
              <a:latin typeface="Arial" panose="020B0604020202020204" pitchFamily="34" charset="0"/>
            </a:rPr>
            <a:t>Note: countries are ranked based on 2024 data. Data for Belgium are confidential. Cyprus and Malta have no railways. 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kern="1200">
              <a:latin typeface="Arial" panose="020B0604020202020204" pitchFamily="34" charset="0"/>
            </a:rPr>
            <a:t>(¹) 2024: break in time series due to methodological improvements.</a:t>
          </a:r>
        </a:p>
        <a:p xmlns:a="http://schemas.openxmlformats.org/drawingml/2006/main">
          <a:r>
            <a:rPr lang="en-GB" sz="1200" kern="1200">
              <a:latin typeface="Arial" panose="020B0604020202020204" pitchFamily="34" charset="0"/>
            </a:rPr>
            <a:t>(²) 2022-2023: based on quarterly data.</a:t>
          </a:r>
        </a:p>
        <a:p xmlns:a="http://schemas.openxmlformats.org/drawingml/2006/main">
          <a:r>
            <a:rPr lang="en-GB" sz="1200" kern="1200">
              <a:latin typeface="Arial" panose="020B0604020202020204" pitchFamily="34" charset="0"/>
            </a:rPr>
            <a:t>(³) Based on quarterly data.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i="1" kern="1200">
              <a:latin typeface="Arial" panose="020B0604020202020204" pitchFamily="34" charset="0"/>
            </a:rPr>
            <a:t>Source:</a:t>
          </a:r>
          <a:r>
            <a:rPr lang="en-GB" sz="1200" kern="1200">
              <a:latin typeface="Arial" panose="020B0604020202020204" pitchFamily="34" charset="0"/>
            </a:rPr>
            <a:t> Eurostat (online data codes: rail_pa_typepas and rail_pa_quartal)</a:t>
          </a:r>
        </a:p>
      </cdr:txBody>
    </cdr:sp>
  </cdr:absSizeAnchor>
  <cdr:absSizeAnchor xmlns:cdr="http://schemas.openxmlformats.org/drawingml/2006/chartDrawing">
    <cdr:from>
      <cdr:x>0.8745</cdr:x>
      <cdr:y>0.94998</cdr:y>
    </cdr:from>
    <cdr:ext cx="1530098" cy="420625"/>
    <cdr:pic>
      <cdr:nvPicPr>
        <cdr:cNvPr id="5" name="LogoShape">
          <a:extLst xmlns:a="http://schemas.openxmlformats.org/drawingml/2006/main">
            <a:ext uri="{FF2B5EF4-FFF2-40B4-BE49-F238E27FC236}">
              <a16:creationId xmlns:a16="http://schemas.microsoft.com/office/drawing/2014/main" id="{336DADA0-BD5D-C77C-3F75-3D351311E8D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2"/>
        <a:stretch xmlns:a="http://schemas.openxmlformats.org/drawingml/2006/main">
          <a:fillRect/>
        </a:stretch>
      </cdr:blipFill>
      <cdr:spPr>
        <a:xfrm xmlns:a="http://schemas.openxmlformats.org/drawingml/2006/main">
          <a:off x="10661902" y="7988400"/>
          <a:ext cx="1530098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21165</xdr:colOff>
      <xdr:row>33</xdr:row>
      <xdr:rowOff>114300</xdr:rowOff>
    </xdr:from>
    <xdr:to>
      <xdr:col>28</xdr:col>
      <xdr:colOff>609598</xdr:colOff>
      <xdr:row>34</xdr:row>
      <xdr:rowOff>95250</xdr:rowOff>
    </xdr:to>
    <xdr:sp macro="" textlink="">
      <xdr:nvSpPr>
        <xdr:cNvPr id="4" name="Left Brace 3">
          <a:extLst>
            <a:ext uri="{FF2B5EF4-FFF2-40B4-BE49-F238E27FC236}">
              <a16:creationId xmlns:a16="http://schemas.microsoft.com/office/drawing/2014/main" id="{B7E8B1F3-27AD-471A-9476-4EE64B51C358}"/>
            </a:ext>
          </a:extLst>
        </xdr:cNvPr>
        <xdr:cNvSpPr/>
      </xdr:nvSpPr>
      <xdr:spPr bwMode="auto">
        <a:xfrm rot="5400000">
          <a:off x="18279532" y="4652433"/>
          <a:ext cx="139700" cy="1816099"/>
        </a:xfrm>
        <a:prstGeom prst="leftBrac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380999</xdr:colOff>
      <xdr:row>0</xdr:row>
      <xdr:rowOff>95250</xdr:rowOff>
    </xdr:from>
    <xdr:to>
      <xdr:col>31</xdr:col>
      <xdr:colOff>466724</xdr:colOff>
      <xdr:row>50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1541301-D04B-90A2-D173-2BE67A9FCF95}"/>
            </a:ext>
          </a:extLst>
        </xdr:cNvPr>
        <xdr:cNvGrpSpPr/>
      </xdr:nvGrpSpPr>
      <xdr:grpSpPr>
        <a:xfrm>
          <a:off x="7448549" y="95250"/>
          <a:ext cx="14430375" cy="8124825"/>
          <a:chOff x="7105649" y="95250"/>
          <a:chExt cx="14430375" cy="8124825"/>
        </a:xfrm>
      </xdr:grpSpPr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A5453BD0-660A-2F61-AEB2-55546C68DC20}"/>
              </a:ext>
            </a:extLst>
          </xdr:cNvPr>
          <xdr:cNvGraphicFramePr>
            <a:graphicFrameLocks/>
          </xdr:cNvGraphicFramePr>
        </xdr:nvGraphicFramePr>
        <xdr:xfrm>
          <a:off x="7105649" y="2124076"/>
          <a:ext cx="12906375" cy="60959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1342E99F-4EC2-450C-B935-DEBBBEF7E5CD}"/>
              </a:ext>
            </a:extLst>
          </xdr:cNvPr>
          <xdr:cNvGraphicFramePr>
            <a:graphicFrameLocks/>
          </xdr:cNvGraphicFramePr>
        </xdr:nvGraphicFramePr>
        <xdr:xfrm>
          <a:off x="18649950" y="590550"/>
          <a:ext cx="2390775" cy="50006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5A0FA320-464B-445E-9132-CF51CF40B5B0}"/>
              </a:ext>
            </a:extLst>
          </xdr:cNvPr>
          <xdr:cNvSpPr/>
        </xdr:nvSpPr>
        <xdr:spPr bwMode="auto">
          <a:xfrm>
            <a:off x="18068923" y="95250"/>
            <a:ext cx="3467101" cy="5438775"/>
          </a:xfrm>
          <a:prstGeom prst="ellipse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27</xdr:col>
      <xdr:colOff>315382</xdr:colOff>
      <xdr:row>32</xdr:row>
      <xdr:rowOff>85725</xdr:rowOff>
    </xdr:from>
    <xdr:to>
      <xdr:col>28</xdr:col>
      <xdr:colOff>28575</xdr:colOff>
      <xdr:row>33</xdr:row>
      <xdr:rowOff>114300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6C60A91-0AD2-4E5D-8729-17C3860827C3}"/>
            </a:ext>
          </a:extLst>
        </xdr:cNvPr>
        <xdr:cNvCxnSpPr>
          <a:stCxn id="4" idx="1"/>
        </xdr:cNvCxnSpPr>
      </xdr:nvCxnSpPr>
      <xdr:spPr bwMode="auto">
        <a:xfrm flipV="1">
          <a:off x="18349382" y="5303308"/>
          <a:ext cx="327026" cy="187325"/>
        </a:xfrm>
        <a:prstGeom prst="line">
          <a:avLst/>
        </a:prstGeom>
        <a:solidFill>
          <a:srgbClr val="D1BBA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263525</xdr:colOff>
      <xdr:row>0</xdr:row>
      <xdr:rowOff>85725</xdr:rowOff>
    </xdr:from>
    <xdr:to>
      <xdr:col>31</xdr:col>
      <xdr:colOff>577850</xdr:colOff>
      <xdr:row>59</xdr:row>
      <xdr:rowOff>59540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9ACF14-8B32-B722-CBCD-69D895535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0.00606</cdr:x>
      <cdr:y>0.07382</cdr:y>
    </cdr:from>
    <cdr:to>
      <cdr:x>0.99165</cdr:x>
      <cdr:y>0.91556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8A181B1-8FA5-0041-A7F6-86F1D43D8F6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8900" y="712470"/>
          <a:ext cx="14447619" cy="8123809"/>
        </a:xfrm>
        <a:prstGeom xmlns:a="http://schemas.openxmlformats.org/drawingml/2006/main" prst="rect">
          <a:avLst/>
        </a:prstGeom>
      </cdr:spPr>
    </cdr:pic>
  </cdr:relSizeAnchor>
  <cdr:absSizeAnchor xmlns:cdr="http://schemas.openxmlformats.org/drawingml/2006/chartDrawing">
    <cdr:from>
      <cdr:x>0.00347</cdr:x>
      <cdr:y>0.90909</cdr:y>
    </cdr:from>
    <cdr:ext cx="13128975" cy="877420"/>
    <cdr:sp macro="" textlink="">
      <cdr:nvSpPr>
        <cdr:cNvPr id="3" name="FootonotesShape">
          <a:extLst xmlns:a="http://schemas.openxmlformats.org/drawingml/2006/main">
            <a:ext uri="{FF2B5EF4-FFF2-40B4-BE49-F238E27FC236}">
              <a16:creationId xmlns:a16="http://schemas.microsoft.com/office/drawing/2014/main" id="{299ECA03-EF15-81F0-E924-EDC5496AF8BE}"/>
            </a:ext>
          </a:extLst>
        </cdr:cNvPr>
        <cdr:cNvSpPr txBox="1"/>
      </cdr:nvSpPr>
      <cdr:spPr>
        <a:xfrm xmlns:a="http://schemas.openxmlformats.org/drawingml/2006/main">
          <a:off x="50800" y="8773795"/>
          <a:ext cx="13128975" cy="877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GB" sz="1200" kern="1200">
              <a:latin typeface="Arial" panose="020B0604020202020204" pitchFamily="34" charset="0"/>
            </a:rPr>
            <a:t>Note: countries are ranked based on 2024 data. Data for Belgium are confidential. Cyprus and Malta have no railways. Population on 1 January.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kern="1200">
              <a:latin typeface="Arial" panose="020B0604020202020204" pitchFamily="34" charset="0"/>
            </a:rPr>
            <a:t>(¹) 2024: break in time series due to methodological improvements.</a:t>
          </a:r>
        </a:p>
        <a:p xmlns:a="http://schemas.openxmlformats.org/drawingml/2006/main">
          <a:r>
            <a:rPr lang="en-GB" sz="1200" kern="1200">
              <a:latin typeface="Arial" panose="020B0604020202020204" pitchFamily="34" charset="0"/>
            </a:rPr>
            <a:t>(²) 2022-2023: number of passengers based on quarterly data.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i="1" kern="1200">
              <a:latin typeface="Arial" panose="020B0604020202020204" pitchFamily="34" charset="0"/>
            </a:rPr>
            <a:t>Source:</a:t>
          </a:r>
          <a:r>
            <a:rPr lang="en-GB" sz="1200" kern="1200">
              <a:latin typeface="Arial" panose="020B0604020202020204" pitchFamily="34" charset="0"/>
            </a:rPr>
            <a:t> Eurostat (online data codes: rail_pa_typepas, rail_pa_quartal and demo_gind)</a:t>
          </a:r>
        </a:p>
      </cdr:txBody>
    </cdr:sp>
  </cdr:absSizeAnchor>
  <cdr:absSizeAnchor xmlns:cdr="http://schemas.openxmlformats.org/drawingml/2006/chartDrawing">
    <cdr:from>
      <cdr:x>0.89562</cdr:x>
      <cdr:y>0.95642</cdr:y>
    </cdr:from>
    <cdr:ext cx="1530097" cy="420624"/>
    <cdr:pic>
      <cdr:nvPicPr>
        <cdr:cNvPr id="5" name="LogoShape">
          <a:extLst xmlns:a="http://schemas.openxmlformats.org/drawingml/2006/main">
            <a:ext uri="{FF2B5EF4-FFF2-40B4-BE49-F238E27FC236}">
              <a16:creationId xmlns:a16="http://schemas.microsoft.com/office/drawing/2014/main" id="{674E7CCF-5EB7-C6C5-69C8-7929B120EE1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2"/>
        <a:stretch xmlns:a="http://schemas.openxmlformats.org/drawingml/2006/main">
          <a:fillRect/>
        </a:stretch>
      </cdr:blipFill>
      <cdr:spPr>
        <a:xfrm xmlns:a="http://schemas.openxmlformats.org/drawingml/2006/main">
          <a:off x="13128876" y="9230591"/>
          <a:ext cx="1530097" cy="420624"/>
        </a:xfrm>
        <a:prstGeom xmlns:a="http://schemas.openxmlformats.org/drawingml/2006/main" prst="rect">
          <a:avLst/>
        </a:prstGeom>
      </cdr:spPr>
    </cdr:pic>
  </cdr:absSizeAnchor>
</c:userShapes>
</file>

<file path=xl/theme/theme1.xml><?xml version="1.0" encoding="utf-8"?>
<a:theme xmlns:a="http://schemas.openxmlformats.org/drawingml/2006/main" name="Office Theme">
  <a:themeElements>
    <a:clrScheme name="Palette 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644A7"/>
      </a:accent1>
      <a:accent2>
        <a:srgbClr val="B09120"/>
      </a:accent2>
      <a:accent3>
        <a:srgbClr val="E04040"/>
      </a:accent3>
      <a:accent4>
        <a:srgbClr val="208486"/>
      </a:accent4>
      <a:accent5>
        <a:srgbClr val="388AE2"/>
      </a:accent5>
      <a:accent6>
        <a:srgbClr val="C05F03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c.europa.eu/eurostat/databrowser/bookmark/46cb6bfd-4ffc-4327-ad56-59ae0b5b1c73?lang=en&amp;createdAt=2025-10-28T07:15:54Z" TargetMode="External"/><Relationship Id="rId1" Type="http://schemas.openxmlformats.org/officeDocument/2006/relationships/hyperlink" Target="https://ec.europa.eu/eurostat/databrowser/bookmark/106e51fc-6c17-4c65-84fa-1253750fd009?lang=en&amp;createdAt=2025-10-28T07:14:30Z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c.europa.eu/eurostat/databrowser/bookmark/f06fba8d-f26c-441e-af75-efcc0820f894?lang=en&amp;createdAt=2025-10-28T07:18:21Z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ec.europa.eu/eurostat/databrowser/bookmark/fd907161-4da7-43f3-9fbe-25c32783d548?lang=en&amp;createdAt=2025-10-28T07:19:51Z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c.europa.eu/eurostat/databrowser/bookmark/8b2763d4-ec37-492d-99c9-0135f67640b1?lang=en&amp;createdAt=2025-10-28T07:22:09Z" TargetMode="External"/><Relationship Id="rId1" Type="http://schemas.openxmlformats.org/officeDocument/2006/relationships/hyperlink" Target="https://ec.europa.eu/eurostat/databrowser/bookmark/92b6ed40-8990-4f18-ae65-96731d28f58a?lang=en&amp;createdAt=2025-10-28T07:21:35Z" TargetMode="External"/><Relationship Id="rId4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bookmark/d4ffe2d5-dd65-4b12-9ba4-cd68e90c036b?lang=en&amp;createdAt=2025-10-28T07:24:24Z" TargetMode="External"/><Relationship Id="rId2" Type="http://schemas.openxmlformats.org/officeDocument/2006/relationships/hyperlink" Target="https://ec.europa.eu/eurostat/databrowser/bookmark/8b2763d4-ec37-492d-99c9-0135f67640b1?lang=en&amp;createdAt=2025-10-28T07:22:09Z" TargetMode="External"/><Relationship Id="rId1" Type="http://schemas.openxmlformats.org/officeDocument/2006/relationships/hyperlink" Target="https://ec.europa.eu/eurostat/databrowser/bookmark/92b6ed40-8990-4f18-ae65-96731d28f58a?lang=en&amp;createdAt=2025-10-28T07:21:35Z" TargetMode="External"/><Relationship Id="rId5" Type="http://schemas.openxmlformats.org/officeDocument/2006/relationships/drawing" Target="../drawings/drawing9.xm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1E4A-984C-4E88-817F-3E0EE754C6D6}">
  <sheetPr>
    <pageSetUpPr fitToPage="1"/>
  </sheetPr>
  <dimension ref="A1:AG49"/>
  <sheetViews>
    <sheetView showGridLines="0" tabSelected="1" zoomScaleNormal="100" workbookViewId="0"/>
  </sheetViews>
  <sheetFormatPr defaultColWidth="9.140625" defaultRowHeight="12.75" x14ac:dyDescent="0.2"/>
  <cols>
    <col min="1" max="1" width="14.42578125" style="3" customWidth="1"/>
    <col min="2" max="9" width="9.28515625" style="3" customWidth="1"/>
    <col min="10" max="10" width="9.28515625" style="3" bestFit="1" customWidth="1"/>
    <col min="11" max="11" width="9.140625" style="3" customWidth="1"/>
    <col min="12" max="12" width="7.7109375" style="3" customWidth="1"/>
    <col min="13" max="14" width="8.7109375" style="3" customWidth="1"/>
    <col min="15" max="15" width="9.7109375" style="3" customWidth="1"/>
    <col min="16" max="16" width="10.5703125" style="3" customWidth="1"/>
    <col min="17" max="17" width="10.42578125" style="3" customWidth="1"/>
    <col min="18" max="18" width="9.7109375" style="3" customWidth="1"/>
    <col min="19" max="21" width="9.28515625" style="3" bestFit="1" customWidth="1"/>
    <col min="22" max="25" width="10.28515625" style="3" customWidth="1"/>
    <col min="26" max="26" width="7.28515625" style="3" customWidth="1"/>
    <col min="27" max="29" width="9.42578125" style="3" bestFit="1" customWidth="1"/>
    <col min="30" max="32" width="9.28515625" style="3" bestFit="1" customWidth="1"/>
    <col min="33" max="16384" width="9.140625" style="3"/>
  </cols>
  <sheetData>
    <row r="1" spans="1:11" ht="15.75" x14ac:dyDescent="0.25">
      <c r="A1" s="2" t="s">
        <v>70</v>
      </c>
    </row>
    <row r="2" spans="1:11" ht="14.25" x14ac:dyDescent="0.2">
      <c r="A2" s="32" t="s">
        <v>29</v>
      </c>
      <c r="J2" s="10"/>
      <c r="K2" s="12"/>
    </row>
    <row r="28" spans="1:1" x14ac:dyDescent="0.2">
      <c r="A28" s="13"/>
    </row>
    <row r="33" spans="1:33" x14ac:dyDescent="0.2">
      <c r="B33" s="15"/>
      <c r="C33" s="15"/>
      <c r="D33" s="15"/>
      <c r="E33" s="15"/>
      <c r="F33" s="15"/>
      <c r="G33" s="15"/>
      <c r="H33" s="15"/>
      <c r="I33" s="15"/>
    </row>
    <row r="34" spans="1:33" x14ac:dyDescent="0.2">
      <c r="B34" s="15"/>
      <c r="C34" s="15"/>
      <c r="D34" s="15"/>
      <c r="E34" s="15"/>
      <c r="F34" s="15"/>
      <c r="G34" s="15"/>
      <c r="H34" s="15"/>
      <c r="I34" s="15"/>
    </row>
    <row r="35" spans="1:33" x14ac:dyDescent="0.2">
      <c r="A35" s="14"/>
      <c r="B35" s="15"/>
      <c r="C35" s="15"/>
      <c r="D35" s="15"/>
      <c r="E35" s="15"/>
      <c r="F35" s="15"/>
      <c r="G35" s="15"/>
      <c r="H35" s="15"/>
      <c r="I35" s="15"/>
    </row>
    <row r="36" spans="1:33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33" x14ac:dyDescent="0.2">
      <c r="A37" s="14"/>
      <c r="B37" s="15"/>
      <c r="C37" s="15"/>
      <c r="D37" s="15"/>
      <c r="E37" s="15"/>
      <c r="F37" s="15"/>
      <c r="G37" s="15"/>
      <c r="H37" s="15"/>
      <c r="I37" s="15"/>
    </row>
    <row r="38" spans="1:33" x14ac:dyDescent="0.2">
      <c r="A38" s="14"/>
      <c r="B38" s="15"/>
      <c r="C38" s="15"/>
      <c r="D38" s="15"/>
      <c r="E38" s="15"/>
      <c r="F38" s="15"/>
      <c r="G38" s="15"/>
      <c r="H38" s="15"/>
      <c r="I38" s="15"/>
    </row>
    <row r="39" spans="1:33" x14ac:dyDescent="0.2">
      <c r="A39" s="14"/>
      <c r="B39" s="15"/>
      <c r="C39" s="15"/>
      <c r="D39" s="15"/>
      <c r="E39" s="15"/>
      <c r="F39" s="15"/>
      <c r="G39" s="15"/>
      <c r="H39" s="15"/>
      <c r="I39" s="15"/>
    </row>
    <row r="40" spans="1:33" ht="15" customHeight="1" x14ac:dyDescent="0.2">
      <c r="A40" s="6"/>
      <c r="B40" s="9"/>
      <c r="C40" s="9"/>
      <c r="D40" s="9"/>
      <c r="E40" s="9"/>
      <c r="F40" s="9"/>
      <c r="G40" s="9"/>
      <c r="H40" s="9"/>
      <c r="I40" s="9"/>
      <c r="J40" s="9"/>
      <c r="K40" s="9"/>
      <c r="M40" s="7"/>
      <c r="N40" s="149" t="s">
        <v>31</v>
      </c>
      <c r="O40" s="150"/>
      <c r="P40" s="8"/>
      <c r="Q40" s="8"/>
      <c r="R40" s="8"/>
      <c r="S40" s="8"/>
      <c r="T40" s="8"/>
      <c r="U40" s="8"/>
      <c r="V40" s="8"/>
      <c r="W40" s="8"/>
      <c r="X40" s="8"/>
      <c r="Y40" s="8"/>
      <c r="Z40" s="5" t="s">
        <v>75</v>
      </c>
      <c r="AA40" s="5"/>
      <c r="AB40" s="5"/>
      <c r="AC40" s="5"/>
      <c r="AD40" s="5"/>
      <c r="AE40" s="5"/>
      <c r="AF40" s="5"/>
      <c r="AG40" s="5"/>
    </row>
    <row r="41" spans="1:33" ht="15" customHeight="1" x14ac:dyDescent="0.2">
      <c r="A41" s="6"/>
      <c r="B41" s="9"/>
      <c r="C41" s="9"/>
      <c r="D41" s="9"/>
      <c r="E41" s="9"/>
      <c r="F41" s="9"/>
      <c r="G41" s="9"/>
      <c r="H41" s="9"/>
      <c r="I41" s="9"/>
      <c r="J41" s="9"/>
      <c r="K41" s="9"/>
      <c r="M41" s="43"/>
      <c r="N41" s="151">
        <v>2022</v>
      </c>
      <c r="O41" s="152"/>
      <c r="P41" s="152"/>
      <c r="Q41" s="153"/>
      <c r="R41" s="151">
        <v>2023</v>
      </c>
      <c r="S41" s="152"/>
      <c r="T41" s="152"/>
      <c r="U41" s="153"/>
      <c r="V41" s="151">
        <v>2024</v>
      </c>
      <c r="W41" s="152"/>
      <c r="X41" s="152"/>
      <c r="Y41" s="153"/>
      <c r="Z41" s="45">
        <v>2023</v>
      </c>
      <c r="AA41" s="44"/>
      <c r="AB41" s="44"/>
      <c r="AC41" s="44"/>
      <c r="AD41" s="45">
        <v>2024</v>
      </c>
      <c r="AE41" s="44"/>
      <c r="AF41" s="44"/>
      <c r="AG41" s="44"/>
    </row>
    <row r="42" spans="1:33" ht="12.75" customHeight="1" x14ac:dyDescent="0.2">
      <c r="A42" s="43" t="s">
        <v>37</v>
      </c>
      <c r="B42" s="55">
        <v>2015</v>
      </c>
      <c r="C42" s="55">
        <v>2016</v>
      </c>
      <c r="D42" s="55">
        <v>2017</v>
      </c>
      <c r="E42" s="55">
        <v>2018</v>
      </c>
      <c r="F42" s="55">
        <v>2019</v>
      </c>
      <c r="G42" s="55">
        <v>2020</v>
      </c>
      <c r="H42" s="55">
        <v>2021</v>
      </c>
      <c r="I42" s="55">
        <v>2022</v>
      </c>
      <c r="J42" s="55">
        <v>2023</v>
      </c>
      <c r="K42" s="55">
        <v>2024</v>
      </c>
      <c r="M42" s="43"/>
      <c r="N42" s="46" t="s">
        <v>33</v>
      </c>
      <c r="O42" s="46" t="s">
        <v>34</v>
      </c>
      <c r="P42" s="46" t="s">
        <v>35</v>
      </c>
      <c r="Q42" s="46" t="s">
        <v>36</v>
      </c>
      <c r="R42" s="46" t="s">
        <v>33</v>
      </c>
      <c r="S42" s="46" t="s">
        <v>34</v>
      </c>
      <c r="T42" s="46" t="s">
        <v>35</v>
      </c>
      <c r="U42" s="46" t="s">
        <v>36</v>
      </c>
      <c r="V42" s="46" t="s">
        <v>33</v>
      </c>
      <c r="W42" s="46" t="s">
        <v>34</v>
      </c>
      <c r="X42" s="46" t="s">
        <v>35</v>
      </c>
      <c r="Y42" s="46" t="s">
        <v>36</v>
      </c>
      <c r="Z42" s="46" t="s">
        <v>33</v>
      </c>
      <c r="AA42" s="46" t="s">
        <v>34</v>
      </c>
      <c r="AB42" s="46" t="s">
        <v>35</v>
      </c>
      <c r="AC42" s="46" t="s">
        <v>36</v>
      </c>
      <c r="AD42" s="46" t="s">
        <v>33</v>
      </c>
      <c r="AE42" s="46" t="s">
        <v>34</v>
      </c>
      <c r="AF42" s="46" t="s">
        <v>35</v>
      </c>
      <c r="AG42" s="46" t="s">
        <v>36</v>
      </c>
    </row>
    <row r="43" spans="1:33" x14ac:dyDescent="0.2">
      <c r="A43" s="51" t="s">
        <v>32</v>
      </c>
      <c r="B43" s="52">
        <v>365.59023699999995</v>
      </c>
      <c r="C43" s="52">
        <v>374.36984399999994</v>
      </c>
      <c r="D43" s="52">
        <v>381.10581000000002</v>
      </c>
      <c r="E43" s="52">
        <v>387.18239300000005</v>
      </c>
      <c r="F43" s="52">
        <v>399.96201799999989</v>
      </c>
      <c r="G43" s="52">
        <v>213.56168400000001</v>
      </c>
      <c r="H43" s="52">
        <v>248.42748299999997</v>
      </c>
      <c r="I43" s="52">
        <v>376.0051820000001</v>
      </c>
      <c r="J43" s="52">
        <v>418.55492800000013</v>
      </c>
      <c r="K43" s="56">
        <v>442.90256500000004</v>
      </c>
      <c r="M43" s="47" t="s">
        <v>32</v>
      </c>
      <c r="N43" s="48">
        <v>72733.054999999978</v>
      </c>
      <c r="O43" s="48">
        <v>101372.61500000001</v>
      </c>
      <c r="P43" s="48">
        <v>109603.59500000002</v>
      </c>
      <c r="Q43" s="48">
        <v>103232.15100000004</v>
      </c>
      <c r="R43" s="48">
        <v>94036.875000000015</v>
      </c>
      <c r="S43" s="48">
        <v>110300.29300000001</v>
      </c>
      <c r="T43" s="48">
        <v>116589.04399999999</v>
      </c>
      <c r="U43" s="48">
        <v>110378.83700000001</v>
      </c>
      <c r="V43" s="48">
        <v>103021.10400000001</v>
      </c>
      <c r="W43" s="48">
        <v>118294.23100000001</v>
      </c>
      <c r="X43" s="48">
        <v>119604.85100000001</v>
      </c>
      <c r="Y43" s="48">
        <v>115698.77199999998</v>
      </c>
      <c r="Z43" s="49">
        <v>29.290423728248506</v>
      </c>
      <c r="AA43" s="50">
        <v>8.8067946160804933</v>
      </c>
      <c r="AB43" s="50">
        <v>6.3733758003101881</v>
      </c>
      <c r="AC43" s="50">
        <v>6.922926559962872</v>
      </c>
      <c r="AD43" s="50">
        <v>9.5539425358403207</v>
      </c>
      <c r="AE43" s="50">
        <v>7.2474313372857591</v>
      </c>
      <c r="AF43" s="50">
        <v>2.5866984551310201</v>
      </c>
      <c r="AG43" s="50">
        <v>4.8197056107775138</v>
      </c>
    </row>
    <row r="44" spans="1:33" x14ac:dyDescent="0.2">
      <c r="A44" s="53" t="s">
        <v>32</v>
      </c>
      <c r="B44" s="54"/>
      <c r="C44" s="54">
        <v>2.4014883635965267E-2</v>
      </c>
      <c r="D44" s="54">
        <v>1.7992811408175546E-2</v>
      </c>
      <c r="E44" s="54">
        <v>1.5944608663929882E-2</v>
      </c>
      <c r="F44" s="54">
        <v>3.3006730758027514E-2</v>
      </c>
      <c r="G44" s="54">
        <v>-0.46604508831136038</v>
      </c>
      <c r="H44" s="54">
        <v>0.16325868173993219</v>
      </c>
      <c r="I44" s="54">
        <v>0.51354100383491041</v>
      </c>
      <c r="J44" s="54">
        <v>0.11316265848697804</v>
      </c>
      <c r="K44" s="57">
        <v>5.8170709197813864E-2</v>
      </c>
    </row>
    <row r="45" spans="1:33" x14ac:dyDescent="0.2">
      <c r="A45" s="41" t="s">
        <v>57</v>
      </c>
      <c r="G45" s="10"/>
      <c r="H45" s="10"/>
      <c r="I45" s="10"/>
      <c r="J45" s="10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33" x14ac:dyDescent="0.2">
      <c r="A46" s="14" t="s">
        <v>71</v>
      </c>
      <c r="G46" s="10"/>
      <c r="H46" s="10"/>
      <c r="I46" s="10"/>
      <c r="J46" s="10"/>
      <c r="K46" s="4"/>
    </row>
    <row r="47" spans="1:33" x14ac:dyDescent="0.2">
      <c r="A47" s="16" t="s">
        <v>77</v>
      </c>
    </row>
    <row r="48" spans="1:33" x14ac:dyDescent="0.2">
      <c r="A48" s="3" t="s">
        <v>79</v>
      </c>
      <c r="B48" s="123" t="s">
        <v>80</v>
      </c>
    </row>
    <row r="49" spans="1:2" x14ac:dyDescent="0.2">
      <c r="A49" s="3" t="s">
        <v>78</v>
      </c>
      <c r="B49" s="123" t="s">
        <v>81</v>
      </c>
    </row>
  </sheetData>
  <mergeCells count="4">
    <mergeCell ref="N40:O40"/>
    <mergeCell ref="N41:Q41"/>
    <mergeCell ref="R41:U41"/>
    <mergeCell ref="V41:Y41"/>
  </mergeCells>
  <phoneticPr fontId="9" type="noConversion"/>
  <hyperlinks>
    <hyperlink ref="B48" r:id="rId1" xr:uid="{74A8DF1F-8D7B-4E03-AB55-BD26C249CF36}"/>
    <hyperlink ref="B49" r:id="rId2" xr:uid="{5D691421-C377-4CF0-A563-4E3FABF9B0C2}"/>
  </hyperlinks>
  <pageMargins left="0.18470588235294122" right="0.19647058823529415" top="0.44352941176470595" bottom="0.44352941176470595" header="0.50980392156862753" footer="0.50980392156862753"/>
  <pageSetup paperSize="9" scale="48" orientation="landscape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277F-65B6-4510-A358-D46F6AEE7206}">
  <sheetPr>
    <pageSetUpPr fitToPage="1"/>
  </sheetPr>
  <dimension ref="A1:V49"/>
  <sheetViews>
    <sheetView showGridLines="0" zoomScaleNormal="100" workbookViewId="0"/>
  </sheetViews>
  <sheetFormatPr defaultColWidth="9.140625" defaultRowHeight="12.75" x14ac:dyDescent="0.2"/>
  <cols>
    <col min="1" max="1" width="15.140625" style="3" customWidth="1"/>
    <col min="2" max="2" width="25.42578125" style="3" customWidth="1"/>
    <col min="3" max="7" width="9.85546875" style="3" customWidth="1"/>
    <col min="8" max="8" width="13.7109375" style="3" customWidth="1"/>
    <col min="9" max="9" width="9" style="3" customWidth="1"/>
    <col min="10" max="10" width="9.140625" style="3"/>
    <col min="11" max="11" width="10.5703125" style="3" bestFit="1" customWidth="1"/>
    <col min="12" max="16384" width="9.140625" style="3"/>
  </cols>
  <sheetData>
    <row r="1" spans="1:22" ht="15.75" x14ac:dyDescent="0.25">
      <c r="A1" s="2" t="s">
        <v>49</v>
      </c>
      <c r="B1" s="16"/>
      <c r="C1" s="16"/>
      <c r="D1" s="16"/>
      <c r="H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ht="14.25" x14ac:dyDescent="0.2">
      <c r="A2" s="154" t="s">
        <v>29</v>
      </c>
      <c r="B2" s="154"/>
      <c r="C2" s="154"/>
      <c r="D2" s="154"/>
      <c r="H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x14ac:dyDescent="0.2"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s="19" customFormat="1" ht="18" customHeight="1" x14ac:dyDescent="0.2"/>
    <row r="5" spans="1:22" ht="12.75" customHeight="1" x14ac:dyDescent="0.2">
      <c r="H5" s="19"/>
    </row>
    <row r="6" spans="1:22" ht="12.75" customHeight="1" x14ac:dyDescent="0.2">
      <c r="B6" s="18"/>
      <c r="C6" s="18"/>
      <c r="D6" s="18"/>
      <c r="E6" s="18"/>
      <c r="F6" s="18"/>
      <c r="G6" s="18"/>
    </row>
    <row r="7" spans="1:22" ht="12.75" customHeight="1" x14ac:dyDescent="0.2">
      <c r="B7" s="42"/>
      <c r="C7" s="59">
        <v>2022</v>
      </c>
      <c r="D7" s="59">
        <v>2023</v>
      </c>
      <c r="E7" s="59">
        <v>2024</v>
      </c>
      <c r="F7" s="18"/>
      <c r="G7" s="18"/>
    </row>
    <row r="8" spans="1:22" ht="12.75" customHeight="1" x14ac:dyDescent="0.2">
      <c r="B8" s="60" t="s">
        <v>3</v>
      </c>
      <c r="C8" s="134">
        <v>92.312821999999997</v>
      </c>
      <c r="D8" s="135">
        <v>101.40775599999999</v>
      </c>
      <c r="E8" s="136">
        <v>107.562378</v>
      </c>
      <c r="F8" s="18"/>
      <c r="G8" s="31"/>
    </row>
    <row r="9" spans="1:22" ht="12.75" customHeight="1" x14ac:dyDescent="0.2">
      <c r="B9" s="61" t="s">
        <v>8</v>
      </c>
      <c r="C9" s="137">
        <v>95.634676999999996</v>
      </c>
      <c r="D9" s="135">
        <v>101.316388</v>
      </c>
      <c r="E9" s="138">
        <v>107.34578999999999</v>
      </c>
      <c r="F9" s="18"/>
      <c r="G9" s="31"/>
    </row>
    <row r="10" spans="1:22" ht="12.75" customHeight="1" x14ac:dyDescent="0.2">
      <c r="B10" s="61" t="s">
        <v>9</v>
      </c>
      <c r="C10" s="137">
        <v>46.142527000000001</v>
      </c>
      <c r="D10" s="135">
        <v>54.790779999999998</v>
      </c>
      <c r="E10" s="138">
        <v>55.872143999999999</v>
      </c>
      <c r="F10" s="18"/>
      <c r="G10" s="31"/>
    </row>
    <row r="11" spans="1:22" ht="12.75" customHeight="1" x14ac:dyDescent="0.2">
      <c r="B11" s="61" t="s">
        <v>7</v>
      </c>
      <c r="C11" s="137">
        <v>27.489416000000002</v>
      </c>
      <c r="D11" s="135">
        <v>34.632049000000002</v>
      </c>
      <c r="E11" s="138">
        <v>38.038499000000002</v>
      </c>
      <c r="F11" s="39"/>
      <c r="G11" s="31"/>
    </row>
    <row r="12" spans="1:22" ht="12.75" customHeight="1" x14ac:dyDescent="0.2">
      <c r="B12" s="24" t="s">
        <v>16</v>
      </c>
      <c r="C12" s="130">
        <v>23.646393</v>
      </c>
      <c r="D12" s="139">
        <v>25.604617999999999</v>
      </c>
      <c r="E12" s="131">
        <v>28.214547</v>
      </c>
      <c r="F12" s="39"/>
      <c r="G12" s="31"/>
    </row>
    <row r="13" spans="1:22" ht="12.75" customHeight="1" x14ac:dyDescent="0.2">
      <c r="B13" s="24" t="s">
        <v>59</v>
      </c>
      <c r="C13" s="130">
        <v>17.105015999999999</v>
      </c>
      <c r="D13" s="139">
        <v>19.195423999999999</v>
      </c>
      <c r="E13" s="131">
        <v>17.018532</v>
      </c>
      <c r="F13" s="39"/>
      <c r="G13" s="31"/>
    </row>
    <row r="14" spans="1:22" ht="12.75" customHeight="1" x14ac:dyDescent="0.2">
      <c r="B14" s="24" t="s">
        <v>62</v>
      </c>
      <c r="C14" s="130">
        <v>7.8169399999999998</v>
      </c>
      <c r="D14" s="139">
        <v>10.403352999999999</v>
      </c>
      <c r="E14" s="131">
        <v>15.00558</v>
      </c>
      <c r="F14" s="156"/>
      <c r="G14" s="31"/>
    </row>
    <row r="15" spans="1:22" ht="12.75" customHeight="1" x14ac:dyDescent="0.2">
      <c r="B15" s="24" t="s">
        <v>15</v>
      </c>
      <c r="C15" s="130">
        <v>12.371291999999999</v>
      </c>
      <c r="D15" s="139">
        <v>14.018769000000001</v>
      </c>
      <c r="E15" s="131">
        <v>14.399297000000001</v>
      </c>
      <c r="F15" s="39"/>
      <c r="G15" s="31"/>
    </row>
    <row r="16" spans="1:22" ht="12.75" customHeight="1" x14ac:dyDescent="0.2">
      <c r="B16" s="24" t="s">
        <v>22</v>
      </c>
      <c r="C16" s="130">
        <v>12.879</v>
      </c>
      <c r="D16" s="139">
        <v>13.308</v>
      </c>
      <c r="E16" s="131">
        <v>13.625999999999999</v>
      </c>
      <c r="F16" s="39"/>
      <c r="G16" s="31"/>
    </row>
    <row r="17" spans="2:7" ht="12.75" customHeight="1" x14ac:dyDescent="0.2">
      <c r="B17" s="24" t="s">
        <v>28</v>
      </c>
      <c r="C17" s="130">
        <v>9.3938299999999995</v>
      </c>
      <c r="D17" s="139">
        <v>9.9963510000000007</v>
      </c>
      <c r="E17" s="131">
        <v>10.294120000000001</v>
      </c>
      <c r="F17" s="39"/>
      <c r="G17" s="31"/>
    </row>
    <row r="18" spans="2:7" ht="12.75" customHeight="1" x14ac:dyDescent="0.2">
      <c r="B18" s="24" t="s">
        <v>2</v>
      </c>
      <c r="C18" s="130">
        <v>5.8224460000000002</v>
      </c>
      <c r="D18" s="139">
        <v>6.0310100000000002</v>
      </c>
      <c r="E18" s="131">
        <v>6.4814570000000007</v>
      </c>
      <c r="F18" s="39"/>
      <c r="G18" s="31"/>
    </row>
    <row r="19" spans="2:7" ht="12.75" customHeight="1" x14ac:dyDescent="0.2">
      <c r="B19" s="24" t="s">
        <v>18</v>
      </c>
      <c r="C19" s="130">
        <v>5.6163909999999992</v>
      </c>
      <c r="D19" s="139">
        <v>5.9784930000000003</v>
      </c>
      <c r="E19" s="131">
        <v>5.7647240000000002</v>
      </c>
      <c r="F19" s="39"/>
      <c r="G19" s="31"/>
    </row>
    <row r="20" spans="2:7" ht="12.75" customHeight="1" x14ac:dyDescent="0.2">
      <c r="B20" s="24" t="s">
        <v>17</v>
      </c>
      <c r="C20" s="130">
        <v>4.4193540000000002</v>
      </c>
      <c r="D20" s="139">
        <v>4.8290680000000004</v>
      </c>
      <c r="E20" s="131">
        <v>5.4465659999999998</v>
      </c>
      <c r="F20" s="39"/>
      <c r="G20" s="31"/>
    </row>
    <row r="21" spans="2:7" ht="12.75" customHeight="1" x14ac:dyDescent="0.2">
      <c r="B21" s="24" t="s">
        <v>21</v>
      </c>
      <c r="C21" s="130">
        <v>4.5723580000000004</v>
      </c>
      <c r="D21" s="139">
        <v>5.1986989999999995</v>
      </c>
      <c r="E21" s="131">
        <v>5.4359999999999999</v>
      </c>
      <c r="F21" s="39"/>
      <c r="G21" s="31"/>
    </row>
    <row r="22" spans="2:7" ht="12.75" customHeight="1" x14ac:dyDescent="0.2">
      <c r="B22" s="24" t="s">
        <v>20</v>
      </c>
      <c r="C22" s="130">
        <v>3.1675169999999997</v>
      </c>
      <c r="D22" s="139">
        <v>3.542986</v>
      </c>
      <c r="E22" s="131">
        <v>3.5712289999999998</v>
      </c>
      <c r="F22" s="39"/>
      <c r="G22" s="31"/>
    </row>
    <row r="23" spans="2:7" ht="12.75" customHeight="1" x14ac:dyDescent="0.2">
      <c r="B23" s="24" t="s">
        <v>5</v>
      </c>
      <c r="C23" s="140">
        <v>1.7481279999999999</v>
      </c>
      <c r="D23" s="141">
        <v>2.235255</v>
      </c>
      <c r="E23" s="142">
        <v>2.485992</v>
      </c>
      <c r="F23" s="40"/>
      <c r="G23" s="31"/>
    </row>
    <row r="24" spans="2:7" ht="12.75" customHeight="1" x14ac:dyDescent="0.2">
      <c r="B24" s="24" t="s">
        <v>1</v>
      </c>
      <c r="C24" s="130">
        <v>1.5997110000000001</v>
      </c>
      <c r="D24" s="139">
        <v>1.5916199999999998</v>
      </c>
      <c r="E24" s="131">
        <v>1.497943</v>
      </c>
      <c r="F24" s="39"/>
      <c r="G24" s="31"/>
    </row>
    <row r="25" spans="2:7" ht="12.75" customHeight="1" x14ac:dyDescent="0.2">
      <c r="B25" s="24" t="s">
        <v>27</v>
      </c>
      <c r="C25" s="130">
        <v>0.81227400000000005</v>
      </c>
      <c r="D25" s="139">
        <v>1.142442</v>
      </c>
      <c r="E25" s="131">
        <v>1.1480680000000001</v>
      </c>
      <c r="F25" s="39"/>
      <c r="G25" s="31"/>
    </row>
    <row r="26" spans="2:7" ht="12.75" customHeight="1" x14ac:dyDescent="0.2">
      <c r="B26" s="24" t="s">
        <v>19</v>
      </c>
      <c r="C26" s="130">
        <v>0.64460799999999996</v>
      </c>
      <c r="D26" s="139">
        <v>0.74177099999999996</v>
      </c>
      <c r="E26" s="131">
        <v>0.88644899999999993</v>
      </c>
      <c r="F26" s="39"/>
      <c r="G26" s="31"/>
    </row>
    <row r="27" spans="2:7" ht="12.75" customHeight="1" x14ac:dyDescent="0.2">
      <c r="B27" s="24" t="s">
        <v>6</v>
      </c>
      <c r="C27" s="130">
        <v>1.1169559999999998</v>
      </c>
      <c r="D27" s="139">
        <v>0.67339899999999997</v>
      </c>
      <c r="E27" s="131">
        <v>0.72701400000000005</v>
      </c>
      <c r="F27" s="39"/>
      <c r="G27" s="31"/>
    </row>
    <row r="28" spans="2:7" ht="12.75" customHeight="1" x14ac:dyDescent="0.2">
      <c r="B28" s="24" t="s">
        <v>10</v>
      </c>
      <c r="C28" s="130">
        <v>0.54050300000000007</v>
      </c>
      <c r="D28" s="139">
        <v>0.61203300000000005</v>
      </c>
      <c r="E28" s="131">
        <v>0.69847300000000001</v>
      </c>
      <c r="F28" s="39"/>
      <c r="G28" s="31"/>
    </row>
    <row r="29" spans="2:7" ht="12.75" customHeight="1" x14ac:dyDescent="0.2">
      <c r="B29" s="24" t="s">
        <v>12</v>
      </c>
      <c r="C29" s="130">
        <v>0.38877999999999996</v>
      </c>
      <c r="D29" s="139">
        <v>0.50505</v>
      </c>
      <c r="E29" s="131">
        <v>0.55552099999999993</v>
      </c>
      <c r="F29" s="39"/>
      <c r="G29" s="31"/>
    </row>
    <row r="30" spans="2:7" ht="12.75" customHeight="1" x14ac:dyDescent="0.2">
      <c r="B30" s="63" t="s">
        <v>11</v>
      </c>
      <c r="C30" s="143">
        <v>0.38183699999999998</v>
      </c>
      <c r="D30" s="144">
        <v>0.39151600000000003</v>
      </c>
      <c r="E30" s="145">
        <v>0.44148799999999999</v>
      </c>
      <c r="F30" s="39"/>
      <c r="G30" s="31"/>
    </row>
    <row r="31" spans="2:7" ht="12.75" customHeight="1" x14ac:dyDescent="0.2">
      <c r="B31" s="64" t="s">
        <v>4</v>
      </c>
      <c r="C31" s="132">
        <v>0.38240600000000002</v>
      </c>
      <c r="D31" s="146">
        <v>0.40809800000000002</v>
      </c>
      <c r="E31" s="133">
        <v>0.38475400000000004</v>
      </c>
      <c r="F31" s="39"/>
      <c r="G31" s="31"/>
    </row>
    <row r="32" spans="2:7" ht="12.75" customHeight="1" x14ac:dyDescent="0.2">
      <c r="B32" s="69"/>
      <c r="C32" s="70"/>
      <c r="D32" s="70"/>
      <c r="E32" s="70"/>
      <c r="F32" s="39"/>
      <c r="G32" s="31"/>
    </row>
    <row r="33" spans="1:7" ht="12.75" customHeight="1" x14ac:dyDescent="0.2">
      <c r="B33" s="65" t="s">
        <v>23</v>
      </c>
      <c r="C33" s="128">
        <v>13.320862</v>
      </c>
      <c r="D33" s="128">
        <v>18.022231999999999</v>
      </c>
      <c r="E33" s="129">
        <v>21.355962999999999</v>
      </c>
      <c r="F33" s="39"/>
      <c r="G33" s="31"/>
    </row>
    <row r="34" spans="1:7" ht="12.75" customHeight="1" x14ac:dyDescent="0.2">
      <c r="B34" s="64" t="s">
        <v>24</v>
      </c>
      <c r="C34" s="132">
        <v>1.7803450000000001</v>
      </c>
      <c r="D34" s="132">
        <v>3.0794000000000001</v>
      </c>
      <c r="E34" s="133">
        <v>3.8761139999999998</v>
      </c>
      <c r="F34" s="39"/>
      <c r="G34" s="31"/>
    </row>
    <row r="35" spans="1:7" ht="12.75" customHeight="1" x14ac:dyDescent="0.2">
      <c r="B35" s="69"/>
      <c r="C35" s="70"/>
      <c r="D35" s="70"/>
      <c r="E35" s="70"/>
      <c r="F35" s="39"/>
      <c r="G35" s="31"/>
    </row>
    <row r="36" spans="1:7" x14ac:dyDescent="0.2">
      <c r="B36" s="65" t="s">
        <v>43</v>
      </c>
      <c r="C36" s="128">
        <v>5.9221130000000004</v>
      </c>
      <c r="D36" s="128">
        <v>6.2446130000000002</v>
      </c>
      <c r="E36" s="129">
        <v>6.2725069999999992</v>
      </c>
      <c r="F36" s="39"/>
      <c r="G36" s="31"/>
    </row>
    <row r="37" spans="1:7" x14ac:dyDescent="0.2">
      <c r="B37" s="24" t="s">
        <v>64</v>
      </c>
      <c r="C37" s="130">
        <v>0</v>
      </c>
      <c r="D37" s="130">
        <v>0.52800000000000002</v>
      </c>
      <c r="E37" s="131">
        <v>0.58499999999999996</v>
      </c>
      <c r="F37" s="39"/>
      <c r="G37" s="31"/>
    </row>
    <row r="38" spans="1:7" ht="12.75" customHeight="1" x14ac:dyDescent="0.2">
      <c r="B38" s="24" t="s">
        <v>65</v>
      </c>
      <c r="C38" s="130">
        <v>5.1343000000000007E-2</v>
      </c>
      <c r="D38" s="130">
        <v>6.7852999999999997E-2</v>
      </c>
      <c r="E38" s="131">
        <v>6.9105E-2</v>
      </c>
      <c r="F38" s="39"/>
      <c r="G38" s="31"/>
    </row>
    <row r="39" spans="1:7" ht="12.75" customHeight="1" x14ac:dyDescent="0.2">
      <c r="B39" s="24" t="s">
        <v>30</v>
      </c>
      <c r="C39" s="130">
        <v>4.5922999999999999E-2</v>
      </c>
      <c r="D39" s="130">
        <v>3.2267999999999998E-2</v>
      </c>
      <c r="E39" s="131">
        <v>2.6376999999999998E-2</v>
      </c>
      <c r="F39" s="39"/>
      <c r="G39" s="31"/>
    </row>
    <row r="40" spans="1:7" ht="12.75" customHeight="1" x14ac:dyDescent="0.2">
      <c r="B40" s="68" t="s">
        <v>66</v>
      </c>
      <c r="C40" s="132">
        <v>3.1391999999999996E-2</v>
      </c>
      <c r="D40" s="132">
        <v>3.3676000000000005E-2</v>
      </c>
      <c r="E40" s="133">
        <v>3.0303E-2</v>
      </c>
      <c r="F40" s="39"/>
      <c r="G40" s="58"/>
    </row>
    <row r="41" spans="1:7" ht="12.75" customHeight="1" x14ac:dyDescent="0.2">
      <c r="C41" s="15"/>
      <c r="D41" s="15"/>
      <c r="E41" s="15"/>
    </row>
    <row r="42" spans="1:7" ht="12.75" customHeight="1" x14ac:dyDescent="0.2">
      <c r="A42" s="35" t="s">
        <v>48</v>
      </c>
      <c r="C42" s="15"/>
      <c r="D42" s="15"/>
      <c r="E42" s="15"/>
      <c r="F42" s="15"/>
      <c r="G42" s="15"/>
    </row>
    <row r="43" spans="1:7" x14ac:dyDescent="0.2">
      <c r="A43" s="13" t="s">
        <v>60</v>
      </c>
      <c r="B43" s="23"/>
      <c r="C43" s="23"/>
      <c r="D43" s="23"/>
      <c r="E43" s="23"/>
      <c r="F43" s="23"/>
      <c r="G43" s="23"/>
    </row>
    <row r="44" spans="1:7" x14ac:dyDescent="0.2">
      <c r="A44" s="13" t="s">
        <v>61</v>
      </c>
      <c r="B44" s="23"/>
      <c r="C44" s="23"/>
      <c r="D44" s="23"/>
      <c r="E44" s="23"/>
      <c r="F44" s="23"/>
      <c r="G44" s="23"/>
    </row>
    <row r="45" spans="1:7" x14ac:dyDescent="0.2">
      <c r="A45" s="13" t="s">
        <v>63</v>
      </c>
      <c r="B45" s="23"/>
      <c r="C45" s="23"/>
      <c r="D45" s="23"/>
      <c r="E45" s="23"/>
      <c r="F45" s="23"/>
      <c r="G45" s="23"/>
    </row>
    <row r="46" spans="1:7" x14ac:dyDescent="0.2">
      <c r="A46" s="14" t="s">
        <v>71</v>
      </c>
    </row>
    <row r="47" spans="1:7" x14ac:dyDescent="0.2">
      <c r="A47" s="16" t="s">
        <v>77</v>
      </c>
    </row>
    <row r="48" spans="1:7" x14ac:dyDescent="0.2">
      <c r="A48" s="3" t="s">
        <v>79</v>
      </c>
      <c r="B48" s="123" t="s">
        <v>83</v>
      </c>
    </row>
    <row r="49" spans="1:2" x14ac:dyDescent="0.2">
      <c r="A49" s="3" t="s">
        <v>78</v>
      </c>
      <c r="B49" s="123" t="s">
        <v>82</v>
      </c>
    </row>
  </sheetData>
  <mergeCells count="1">
    <mergeCell ref="A2:D2"/>
  </mergeCells>
  <hyperlinks>
    <hyperlink ref="B48" r:id="rId1" xr:uid="{DB969372-BCD0-4B1C-8C1C-F5F924E0661D}"/>
  </hyperlinks>
  <pageMargins left="0.75" right="0.75" top="1" bottom="1" header="0.5" footer="0.5"/>
  <pageSetup paperSize="9" scale="91" orientation="landscape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1"/>
  <sheetViews>
    <sheetView showGridLines="0" zoomScaleNormal="100" workbookViewId="0"/>
  </sheetViews>
  <sheetFormatPr defaultColWidth="9.140625" defaultRowHeight="12.75" x14ac:dyDescent="0.2"/>
  <cols>
    <col min="1" max="1" width="11.85546875" style="25" customWidth="1"/>
    <col min="2" max="2" width="19.85546875" style="25" customWidth="1"/>
    <col min="3" max="3" width="17.5703125" style="25" bestFit="1" customWidth="1"/>
    <col min="4" max="4" width="13.5703125" style="25" customWidth="1"/>
    <col min="5" max="5" width="14.85546875" style="25" bestFit="1" customWidth="1"/>
    <col min="6" max="7" width="12" style="25" bestFit="1" customWidth="1"/>
    <col min="8" max="8" width="8.85546875" style="25" bestFit="1" customWidth="1"/>
    <col min="9" max="10" width="12" style="25" bestFit="1" customWidth="1"/>
    <col min="11" max="16384" width="9.140625" style="25"/>
  </cols>
  <sheetData>
    <row r="1" spans="1:1" ht="15.75" x14ac:dyDescent="0.25">
      <c r="A1" s="33" t="s">
        <v>72</v>
      </c>
    </row>
    <row r="2" spans="1:1" ht="14.25" x14ac:dyDescent="0.2">
      <c r="A2" s="32" t="s">
        <v>38</v>
      </c>
    </row>
    <row r="35" spans="1:10" ht="18" customHeight="1" x14ac:dyDescent="0.2"/>
    <row r="40" spans="1:10" x14ac:dyDescent="0.2">
      <c r="A40" s="28" t="s">
        <v>47</v>
      </c>
    </row>
    <row r="41" spans="1:10" x14ac:dyDescent="0.2">
      <c r="A41" s="1" t="s">
        <v>41</v>
      </c>
    </row>
    <row r="42" spans="1:10" x14ac:dyDescent="0.2">
      <c r="A42" s="1" t="s">
        <v>44</v>
      </c>
    </row>
    <row r="43" spans="1:10" x14ac:dyDescent="0.2">
      <c r="A43" s="29" t="s">
        <v>73</v>
      </c>
    </row>
    <row r="44" spans="1:10" x14ac:dyDescent="0.2">
      <c r="A44" s="124" t="s">
        <v>77</v>
      </c>
    </row>
    <row r="45" spans="1:10" x14ac:dyDescent="0.2">
      <c r="A45" s="125" t="s">
        <v>84</v>
      </c>
      <c r="B45" s="123" t="s">
        <v>85</v>
      </c>
    </row>
    <row r="47" spans="1:10" ht="15" x14ac:dyDescent="0.25">
      <c r="B47" s="74"/>
      <c r="C47" s="78" t="s">
        <v>26</v>
      </c>
      <c r="D47" s="78" t="s">
        <v>25</v>
      </c>
      <c r="H47" s="155"/>
      <c r="I47" s="155"/>
      <c r="J47" s="71"/>
    </row>
    <row r="48" spans="1:10" x14ac:dyDescent="0.2">
      <c r="B48" s="86" t="s">
        <v>32</v>
      </c>
      <c r="C48" s="77">
        <v>94.838932386356277</v>
      </c>
      <c r="D48" s="79">
        <v>5.1610676136437235</v>
      </c>
      <c r="E48" s="72"/>
      <c r="F48" s="72"/>
    </row>
    <row r="49" spans="2:6" x14ac:dyDescent="0.2">
      <c r="B49" s="75"/>
      <c r="C49" s="76"/>
    </row>
    <row r="50" spans="2:6" x14ac:dyDescent="0.2">
      <c r="B50" s="83" t="s">
        <v>51</v>
      </c>
      <c r="C50" s="80">
        <v>100</v>
      </c>
      <c r="D50" s="80">
        <v>0</v>
      </c>
      <c r="E50" s="39"/>
      <c r="F50" s="39"/>
    </row>
    <row r="51" spans="2:6" x14ac:dyDescent="0.2">
      <c r="B51" s="84" t="s">
        <v>52</v>
      </c>
      <c r="C51" s="81">
        <v>100</v>
      </c>
      <c r="D51" s="81">
        <v>0</v>
      </c>
      <c r="E51" s="39"/>
      <c r="F51" s="39"/>
    </row>
    <row r="52" spans="2:6" x14ac:dyDescent="0.2">
      <c r="B52" s="84" t="s">
        <v>53</v>
      </c>
      <c r="C52" s="81">
        <v>99.992462716436989</v>
      </c>
      <c r="D52" s="81">
        <v>7.5372835630038932E-3</v>
      </c>
      <c r="E52" s="39"/>
      <c r="F52" s="39"/>
    </row>
    <row r="53" spans="2:6" x14ac:dyDescent="0.2">
      <c r="B53" s="84" t="s">
        <v>54</v>
      </c>
      <c r="C53" s="81">
        <v>99.692870700547829</v>
      </c>
      <c r="D53" s="81">
        <v>0.30712929945216855</v>
      </c>
      <c r="E53" s="39"/>
      <c r="F53" s="39"/>
    </row>
    <row r="54" spans="2:6" x14ac:dyDescent="0.2">
      <c r="B54" s="84" t="s">
        <v>10</v>
      </c>
      <c r="C54" s="81">
        <v>99.300474034071456</v>
      </c>
      <c r="D54" s="81">
        <v>0.69952596592853267</v>
      </c>
      <c r="E54" s="39"/>
      <c r="F54" s="39"/>
    </row>
    <row r="55" spans="2:6" x14ac:dyDescent="0.2">
      <c r="B55" s="84" t="s">
        <v>9</v>
      </c>
      <c r="C55" s="81">
        <v>98.889988900372245</v>
      </c>
      <c r="D55" s="81">
        <v>1.1100110996277501</v>
      </c>
      <c r="E55" s="39"/>
      <c r="F55" s="39"/>
    </row>
    <row r="56" spans="2:6" x14ac:dyDescent="0.2">
      <c r="B56" s="84" t="s">
        <v>7</v>
      </c>
      <c r="C56" s="81">
        <v>98.773815969972944</v>
      </c>
      <c r="D56" s="81">
        <v>1.2261840300270523</v>
      </c>
      <c r="E56" s="39"/>
      <c r="F56" s="39"/>
    </row>
    <row r="57" spans="2:6" x14ac:dyDescent="0.2">
      <c r="B57" s="84" t="s">
        <v>18</v>
      </c>
      <c r="C57" s="81">
        <v>98.554883113224506</v>
      </c>
      <c r="D57" s="81">
        <v>1.4451168867754987</v>
      </c>
      <c r="E57" s="39"/>
      <c r="F57" s="39"/>
    </row>
    <row r="58" spans="2:6" x14ac:dyDescent="0.2">
      <c r="B58" s="84" t="s">
        <v>1</v>
      </c>
      <c r="C58" s="81">
        <v>98.016279658171229</v>
      </c>
      <c r="D58" s="81">
        <v>1.983720341828761</v>
      </c>
      <c r="E58" s="39"/>
      <c r="F58" s="39"/>
    </row>
    <row r="59" spans="2:6" x14ac:dyDescent="0.2">
      <c r="B59" s="84" t="s">
        <v>27</v>
      </c>
      <c r="C59" s="81">
        <v>97.851869401464015</v>
      </c>
      <c r="D59" s="81">
        <v>2.1481305985359751</v>
      </c>
      <c r="E59" s="39"/>
      <c r="F59" s="39"/>
    </row>
    <row r="60" spans="2:6" x14ac:dyDescent="0.2">
      <c r="B60" s="84" t="s">
        <v>16</v>
      </c>
      <c r="C60" s="81">
        <v>97.17690310604668</v>
      </c>
      <c r="D60" s="81">
        <v>2.8230968939533212</v>
      </c>
      <c r="E60" s="39"/>
      <c r="F60" s="39"/>
    </row>
    <row r="61" spans="2:6" x14ac:dyDescent="0.2">
      <c r="B61" s="84" t="s">
        <v>0</v>
      </c>
      <c r="C61" s="81">
        <v>96.593920102775883</v>
      </c>
      <c r="D61" s="81">
        <v>3.4060798972241284</v>
      </c>
      <c r="E61" s="39"/>
      <c r="F61" s="39"/>
    </row>
    <row r="62" spans="2:6" x14ac:dyDescent="0.2">
      <c r="B62" s="84" t="s">
        <v>13</v>
      </c>
      <c r="C62" s="81">
        <v>96.277661908095766</v>
      </c>
      <c r="D62" s="81">
        <v>3.7223380919042337</v>
      </c>
      <c r="E62" s="39"/>
      <c r="F62" s="39"/>
    </row>
    <row r="63" spans="2:6" x14ac:dyDescent="0.2">
      <c r="B63" s="84" t="s">
        <v>5</v>
      </c>
      <c r="C63" s="81">
        <v>95.451956402112316</v>
      </c>
      <c r="D63" s="81">
        <v>4.5480435978876841</v>
      </c>
      <c r="E63" s="39"/>
      <c r="F63" s="39"/>
    </row>
    <row r="64" spans="2:6" x14ac:dyDescent="0.2">
      <c r="B64" s="84" t="s">
        <v>15</v>
      </c>
      <c r="C64" s="81">
        <v>95.382795423971046</v>
      </c>
      <c r="D64" s="81">
        <v>4.6172045760289553</v>
      </c>
      <c r="E64" s="39"/>
      <c r="F64" s="39"/>
    </row>
    <row r="65" spans="2:6" x14ac:dyDescent="0.2">
      <c r="B65" s="84" t="s">
        <v>11</v>
      </c>
      <c r="C65" s="81">
        <v>95.258534773312078</v>
      </c>
      <c r="D65" s="81">
        <v>4.7414652266879287</v>
      </c>
      <c r="E65" s="39"/>
      <c r="F65" s="39"/>
    </row>
    <row r="66" spans="2:6" x14ac:dyDescent="0.2">
      <c r="B66" s="84" t="s">
        <v>19</v>
      </c>
      <c r="C66" s="81">
        <v>95.065818789349407</v>
      </c>
      <c r="D66" s="81">
        <v>4.9341812106505847</v>
      </c>
      <c r="E66" s="39"/>
      <c r="F66" s="39"/>
    </row>
    <row r="67" spans="2:6" x14ac:dyDescent="0.2">
      <c r="B67" s="84" t="s">
        <v>14</v>
      </c>
      <c r="C67" s="81">
        <v>94.809135123993073</v>
      </c>
      <c r="D67" s="81">
        <v>5.1908648760069314</v>
      </c>
      <c r="E67" s="39"/>
      <c r="F67" s="39"/>
    </row>
    <row r="68" spans="2:6" x14ac:dyDescent="0.2">
      <c r="B68" s="84" t="s">
        <v>22</v>
      </c>
      <c r="C68" s="81">
        <v>94.591222662556874</v>
      </c>
      <c r="D68" s="81">
        <v>5.4087773374431238</v>
      </c>
      <c r="E68" s="39"/>
      <c r="F68" s="39"/>
    </row>
    <row r="69" spans="2:6" x14ac:dyDescent="0.2">
      <c r="B69" s="84" t="s">
        <v>2</v>
      </c>
      <c r="C69" s="81">
        <v>94.0367729046108</v>
      </c>
      <c r="D69" s="81">
        <v>5.9632270953892004</v>
      </c>
      <c r="E69" s="39"/>
      <c r="F69" s="39"/>
    </row>
    <row r="70" spans="2:6" x14ac:dyDescent="0.2">
      <c r="B70" s="84" t="s">
        <v>3</v>
      </c>
      <c r="C70" s="81">
        <v>93.590024571602541</v>
      </c>
      <c r="D70" s="81">
        <v>6.4099754283974644</v>
      </c>
      <c r="E70" s="39"/>
      <c r="F70" s="39"/>
    </row>
    <row r="71" spans="2:6" x14ac:dyDescent="0.2">
      <c r="B71" s="84" t="s">
        <v>20</v>
      </c>
      <c r="C71" s="81">
        <v>92.975891492816615</v>
      </c>
      <c r="D71" s="81">
        <v>7.0241085071833815</v>
      </c>
      <c r="E71" s="39"/>
      <c r="F71" s="39"/>
    </row>
    <row r="72" spans="2:6" x14ac:dyDescent="0.2">
      <c r="B72" s="84" t="s">
        <v>8</v>
      </c>
      <c r="C72" s="81">
        <v>92.174221271276679</v>
      </c>
      <c r="D72" s="81">
        <v>7.8257787287233151</v>
      </c>
      <c r="E72" s="39"/>
      <c r="F72" s="39"/>
    </row>
    <row r="73" spans="2:6" x14ac:dyDescent="0.2">
      <c r="B73" s="84" t="s">
        <v>28</v>
      </c>
      <c r="C73" s="81">
        <v>82.130964084351064</v>
      </c>
      <c r="D73" s="81">
        <v>17.869035915648933</v>
      </c>
      <c r="E73" s="39"/>
      <c r="F73" s="39"/>
    </row>
    <row r="74" spans="2:6" x14ac:dyDescent="0.2">
      <c r="B74" s="85" t="s">
        <v>12</v>
      </c>
      <c r="C74" s="82">
        <v>63.451606689936114</v>
      </c>
      <c r="D74" s="82">
        <v>36.548393310063886</v>
      </c>
      <c r="E74" s="39"/>
      <c r="F74" s="39"/>
    </row>
    <row r="75" spans="2:6" x14ac:dyDescent="0.2">
      <c r="C75" s="73"/>
      <c r="D75" s="73"/>
      <c r="E75" s="73"/>
      <c r="F75" s="73"/>
    </row>
    <row r="76" spans="2:6" x14ac:dyDescent="0.2">
      <c r="B76" s="83" t="s">
        <v>24</v>
      </c>
      <c r="C76" s="80">
        <v>98.778957481642692</v>
      </c>
      <c r="D76" s="80">
        <v>1.2210425183573033</v>
      </c>
      <c r="E76" s="39"/>
      <c r="F76" s="39"/>
    </row>
    <row r="77" spans="2:6" x14ac:dyDescent="0.2">
      <c r="B77" s="85" t="s">
        <v>23</v>
      </c>
      <c r="C77" s="82">
        <v>94.150219308771042</v>
      </c>
      <c r="D77" s="82">
        <v>5.8497806912289558</v>
      </c>
      <c r="E77" s="39"/>
      <c r="F77" s="39"/>
    </row>
    <row r="78" spans="2:6" x14ac:dyDescent="0.2">
      <c r="C78" s="73"/>
      <c r="D78" s="73"/>
    </row>
    <row r="79" spans="2:6" x14ac:dyDescent="0.2">
      <c r="B79" s="83" t="s">
        <v>76</v>
      </c>
      <c r="C79" s="80">
        <v>100</v>
      </c>
      <c r="D79" s="80">
        <v>0</v>
      </c>
      <c r="E79" s="39"/>
      <c r="F79" s="39"/>
    </row>
    <row r="80" spans="2:6" x14ac:dyDescent="0.2">
      <c r="B80" s="85" t="s">
        <v>43</v>
      </c>
      <c r="C80" s="82">
        <v>96.719365956865417</v>
      </c>
      <c r="D80" s="82">
        <v>3.2806340431345871</v>
      </c>
      <c r="E80" s="39"/>
      <c r="F80" s="39"/>
    </row>
    <row r="81" spans="2:5" x14ac:dyDescent="0.2">
      <c r="B81" s="26"/>
      <c r="C81" s="27"/>
      <c r="D81" s="27"/>
      <c r="E81" s="30"/>
    </row>
  </sheetData>
  <sortState xmlns:xlrd2="http://schemas.microsoft.com/office/spreadsheetml/2017/richdata2" ref="B50:D74">
    <sortCondition descending="1" ref="C50:C74"/>
  </sortState>
  <mergeCells count="1">
    <mergeCell ref="H47:I47"/>
  </mergeCells>
  <hyperlinks>
    <hyperlink ref="B45" r:id="rId1" xr:uid="{9C6627C8-FEF7-49A8-8DFD-1774D8CBAF0A}"/>
  </hyperlinks>
  <pageMargins left="0.7" right="0.7" top="0.75" bottom="0.75" header="0.3" footer="0.3"/>
  <pageSetup paperSize="9" orientation="portrait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855A-DC57-40FA-A7DA-6989096B33EE}">
  <sheetPr>
    <pageSetUpPr fitToPage="1"/>
  </sheetPr>
  <dimension ref="A1:V48"/>
  <sheetViews>
    <sheetView showGridLines="0" zoomScaleNormal="100" workbookViewId="0"/>
  </sheetViews>
  <sheetFormatPr defaultColWidth="9.140625" defaultRowHeight="12.75" x14ac:dyDescent="0.2"/>
  <cols>
    <col min="1" max="1" width="14.28515625" style="3" customWidth="1"/>
    <col min="2" max="2" width="25.5703125" style="3" customWidth="1"/>
    <col min="3" max="7" width="9.85546875" style="3" customWidth="1"/>
    <col min="8" max="8" width="13.7109375" style="3" customWidth="1"/>
    <col min="9" max="9" width="9" style="3" customWidth="1"/>
    <col min="10" max="16384" width="9.140625" style="3"/>
  </cols>
  <sheetData>
    <row r="1" spans="1:22" ht="15.75" x14ac:dyDescent="0.25">
      <c r="A1" s="2" t="s">
        <v>55</v>
      </c>
      <c r="B1" s="16"/>
      <c r="C1" s="16"/>
      <c r="D1" s="16"/>
      <c r="H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ht="14.25" x14ac:dyDescent="0.2">
      <c r="A2" s="154" t="s">
        <v>39</v>
      </c>
      <c r="B2" s="154"/>
      <c r="C2" s="154"/>
      <c r="D2" s="154"/>
      <c r="H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x14ac:dyDescent="0.2">
      <c r="B3" s="18"/>
      <c r="C3" s="18"/>
      <c r="D3" s="18"/>
      <c r="E3" s="18"/>
      <c r="F3" s="18"/>
      <c r="G3" s="18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s="19" customFormat="1" ht="18" customHeight="1" x14ac:dyDescent="0.2">
      <c r="B4" s="42"/>
      <c r="C4" s="59">
        <v>2022</v>
      </c>
      <c r="D4" s="59">
        <v>2023</v>
      </c>
      <c r="E4" s="59">
        <v>2024</v>
      </c>
      <c r="F4" s="18"/>
      <c r="G4" s="18"/>
    </row>
    <row r="5" spans="1:22" ht="12.75" customHeight="1" x14ac:dyDescent="0.2">
      <c r="B5" s="60" t="s">
        <v>3</v>
      </c>
      <c r="C5" s="106">
        <v>2505.855857</v>
      </c>
      <c r="D5" s="36">
        <v>2727.923057</v>
      </c>
      <c r="E5" s="107">
        <v>2904.3535969999998</v>
      </c>
      <c r="F5" s="18"/>
      <c r="G5" s="18"/>
      <c r="H5" s="19"/>
    </row>
    <row r="6" spans="1:22" ht="12.75" customHeight="1" x14ac:dyDescent="0.2">
      <c r="B6" s="61" t="s">
        <v>8</v>
      </c>
      <c r="C6" s="109">
        <v>1141.8217509999999</v>
      </c>
      <c r="D6" s="36">
        <v>1226.405352</v>
      </c>
      <c r="E6" s="108">
        <v>1320.114924</v>
      </c>
      <c r="F6" s="18"/>
      <c r="G6" s="18"/>
    </row>
    <row r="7" spans="1:22" ht="12.75" customHeight="1" x14ac:dyDescent="0.2">
      <c r="B7" s="61" t="s">
        <v>9</v>
      </c>
      <c r="C7" s="109">
        <v>681.57707900000003</v>
      </c>
      <c r="D7" s="36">
        <v>814.44088599999998</v>
      </c>
      <c r="E7" s="108">
        <v>842.82153900000003</v>
      </c>
      <c r="F7" s="18"/>
      <c r="G7" s="18"/>
    </row>
    <row r="8" spans="1:22" ht="12.75" customHeight="1" x14ac:dyDescent="0.2">
      <c r="B8" s="61" t="s">
        <v>7</v>
      </c>
      <c r="C8" s="109">
        <v>554.15438099999994</v>
      </c>
      <c r="D8" s="36">
        <v>666.20529499999998</v>
      </c>
      <c r="E8" s="108">
        <v>691.733205</v>
      </c>
      <c r="F8" s="21"/>
      <c r="G8" s="18"/>
    </row>
    <row r="9" spans="1:22" ht="12.75" customHeight="1" x14ac:dyDescent="0.2">
      <c r="B9" s="24" t="s">
        <v>16</v>
      </c>
      <c r="C9" s="91">
        <v>333.176198</v>
      </c>
      <c r="D9" s="37">
        <v>364.676266</v>
      </c>
      <c r="E9" s="92">
        <v>398.52351199999998</v>
      </c>
      <c r="F9" s="21"/>
      <c r="G9" s="20"/>
    </row>
    <row r="10" spans="1:22" ht="12.75" customHeight="1" x14ac:dyDescent="0.2">
      <c r="B10" s="24" t="s">
        <v>59</v>
      </c>
      <c r="C10" s="91">
        <v>318.94309900000002</v>
      </c>
      <c r="D10" s="37">
        <v>358.45798400000001</v>
      </c>
      <c r="E10" s="92">
        <v>375.74101999999999</v>
      </c>
      <c r="F10" s="21"/>
      <c r="G10" s="20"/>
    </row>
    <row r="11" spans="1:22" ht="12.75" customHeight="1" x14ac:dyDescent="0.2">
      <c r="B11" s="24" t="s">
        <v>15</v>
      </c>
      <c r="C11" s="91">
        <v>260.99216699999999</v>
      </c>
      <c r="D11" s="37">
        <v>304.857168</v>
      </c>
      <c r="E11" s="92">
        <v>326.46597200000002</v>
      </c>
      <c r="F11" s="21"/>
      <c r="G11" s="20"/>
    </row>
    <row r="12" spans="1:22" ht="12.75" customHeight="1" x14ac:dyDescent="0.2">
      <c r="B12" s="24" t="s">
        <v>62</v>
      </c>
      <c r="C12" s="91">
        <v>141.40281999999999</v>
      </c>
      <c r="D12" s="37">
        <v>190.56511900000001</v>
      </c>
      <c r="E12" s="92">
        <v>304.90192100000002</v>
      </c>
      <c r="F12" s="21"/>
      <c r="G12" s="20"/>
    </row>
    <row r="13" spans="1:22" ht="12.75" customHeight="1" x14ac:dyDescent="0.2">
      <c r="B13" s="24" t="s">
        <v>22</v>
      </c>
      <c r="C13" s="91">
        <v>243.97200000000001</v>
      </c>
      <c r="D13" s="37">
        <v>243.44200000000001</v>
      </c>
      <c r="E13" s="92">
        <v>252.37100000000001</v>
      </c>
      <c r="F13" s="21"/>
      <c r="G13" s="20"/>
    </row>
    <row r="14" spans="1:22" ht="12.75" customHeight="1" x14ac:dyDescent="0.2">
      <c r="B14" s="24" t="s">
        <v>17</v>
      </c>
      <c r="C14" s="91">
        <v>171.65330499999999</v>
      </c>
      <c r="D14" s="37">
        <v>200.459474</v>
      </c>
      <c r="E14" s="92">
        <v>218.88621800000001</v>
      </c>
      <c r="F14" s="21"/>
      <c r="G14" s="20"/>
    </row>
    <row r="15" spans="1:22" ht="12.75" customHeight="1" x14ac:dyDescent="0.2">
      <c r="B15" s="24" t="s">
        <v>2</v>
      </c>
      <c r="C15" s="91">
        <v>184.89699999999999</v>
      </c>
      <c r="D15" s="37">
        <v>202.86600000000001</v>
      </c>
      <c r="E15" s="92">
        <v>210.447</v>
      </c>
      <c r="F15" s="21"/>
      <c r="G15" s="20"/>
    </row>
    <row r="16" spans="1:22" ht="12.75" customHeight="1" x14ac:dyDescent="0.2">
      <c r="B16" s="24" t="s">
        <v>28</v>
      </c>
      <c r="C16" s="91">
        <v>174.32735400000001</v>
      </c>
      <c r="D16" s="37">
        <v>183.97938600000001</v>
      </c>
      <c r="E16" s="92">
        <v>191.17067499999999</v>
      </c>
      <c r="F16" s="21"/>
      <c r="G16" s="20"/>
    </row>
    <row r="17" spans="2:7" ht="12.75" customHeight="1" x14ac:dyDescent="0.2">
      <c r="B17" s="24" t="s">
        <v>21</v>
      </c>
      <c r="C17" s="91">
        <v>76.089129</v>
      </c>
      <c r="D17" s="37">
        <v>82.406009999999995</v>
      </c>
      <c r="E17" s="92">
        <v>84.573999999999998</v>
      </c>
      <c r="F17" s="21"/>
      <c r="G17" s="20"/>
    </row>
    <row r="18" spans="2:7" ht="12.75" customHeight="1" x14ac:dyDescent="0.2">
      <c r="B18" s="24" t="s">
        <v>20</v>
      </c>
      <c r="C18" s="91">
        <v>66.705006999999995</v>
      </c>
      <c r="D18" s="37">
        <v>71.689409999999995</v>
      </c>
      <c r="E18" s="92">
        <v>72.055627000000001</v>
      </c>
      <c r="F18" s="21"/>
      <c r="G18" s="20"/>
    </row>
    <row r="19" spans="2:7" ht="12.75" customHeight="1" x14ac:dyDescent="0.2">
      <c r="B19" s="24" t="s">
        <v>18</v>
      </c>
      <c r="C19" s="91">
        <v>69.316148999999996</v>
      </c>
      <c r="D19" s="37">
        <v>73.196068999999994</v>
      </c>
      <c r="E19" s="92">
        <v>69.635549999999995</v>
      </c>
      <c r="F19" s="21"/>
      <c r="G19" s="20"/>
    </row>
    <row r="20" spans="2:7" ht="12.75" customHeight="1" x14ac:dyDescent="0.2">
      <c r="B20" s="24" t="s">
        <v>5</v>
      </c>
      <c r="C20" s="91">
        <v>35.845067</v>
      </c>
      <c r="D20" s="37">
        <v>46.066147000000001</v>
      </c>
      <c r="E20" s="92">
        <v>50.663715000000003</v>
      </c>
      <c r="F20" s="21"/>
      <c r="G20" s="20"/>
    </row>
    <row r="21" spans="2:7" ht="12.75" customHeight="1" x14ac:dyDescent="0.2">
      <c r="B21" s="24" t="s">
        <v>12</v>
      </c>
      <c r="C21" s="91">
        <v>22.037732999999999</v>
      </c>
      <c r="D21" s="37">
        <v>28.687638</v>
      </c>
      <c r="E21" s="92">
        <v>31.263434</v>
      </c>
      <c r="F21" s="21"/>
      <c r="G21" s="20"/>
    </row>
    <row r="22" spans="2:7" ht="12.75" customHeight="1" x14ac:dyDescent="0.2">
      <c r="B22" s="24" t="s">
        <v>27</v>
      </c>
      <c r="C22" s="110">
        <v>18.581492000000001</v>
      </c>
      <c r="D22" s="38">
        <v>23.850857999999999</v>
      </c>
      <c r="E22" s="126">
        <v>24.590475000000001</v>
      </c>
      <c r="F22" s="22"/>
      <c r="G22" s="20"/>
    </row>
    <row r="23" spans="2:7" ht="12.75" customHeight="1" x14ac:dyDescent="0.2">
      <c r="B23" s="24" t="s">
        <v>1</v>
      </c>
      <c r="C23" s="91">
        <v>23.065303</v>
      </c>
      <c r="D23" s="37">
        <v>21.811429</v>
      </c>
      <c r="E23" s="92">
        <v>21.140657000000001</v>
      </c>
      <c r="F23" s="21"/>
      <c r="G23" s="20"/>
    </row>
    <row r="24" spans="2:7" ht="12.75" customHeight="1" x14ac:dyDescent="0.2">
      <c r="B24" s="24" t="s">
        <v>10</v>
      </c>
      <c r="C24" s="91">
        <v>15.693792999999999</v>
      </c>
      <c r="D24" s="37">
        <v>17.133623</v>
      </c>
      <c r="E24" s="92">
        <v>19.508313999999999</v>
      </c>
      <c r="F24" s="21"/>
      <c r="G24" s="20"/>
    </row>
    <row r="25" spans="2:7" ht="12.75" customHeight="1" x14ac:dyDescent="0.2">
      <c r="B25" s="24" t="s">
        <v>19</v>
      </c>
      <c r="C25" s="91">
        <v>13.908697999999999</v>
      </c>
      <c r="D25" s="37">
        <v>14.483038000000001</v>
      </c>
      <c r="E25" s="92">
        <v>15.704134</v>
      </c>
      <c r="F25" s="21"/>
      <c r="G25" s="20"/>
    </row>
    <row r="26" spans="2:7" ht="12.75" customHeight="1" x14ac:dyDescent="0.2">
      <c r="B26" s="24" t="s">
        <v>6</v>
      </c>
      <c r="C26" s="91">
        <v>15.421052</v>
      </c>
      <c r="D26" s="37">
        <v>12.806882</v>
      </c>
      <c r="E26" s="92">
        <v>14.052752</v>
      </c>
      <c r="F26" s="21"/>
      <c r="G26" s="20"/>
    </row>
    <row r="27" spans="2:7" ht="12.75" customHeight="1" x14ac:dyDescent="0.2">
      <c r="B27" s="63" t="s">
        <v>4</v>
      </c>
      <c r="C27" s="93">
        <v>7.1289999999999996</v>
      </c>
      <c r="D27" s="127">
        <v>7.8049999999999997</v>
      </c>
      <c r="E27" s="94">
        <v>7.9441699999999997</v>
      </c>
      <c r="F27" s="21"/>
      <c r="G27" s="20"/>
    </row>
    <row r="28" spans="2:7" ht="12.75" customHeight="1" x14ac:dyDescent="0.2">
      <c r="B28" s="64" t="s">
        <v>11</v>
      </c>
      <c r="C28" s="95">
        <v>4.4644360000000001</v>
      </c>
      <c r="D28" s="101">
        <v>4.7192499999999997</v>
      </c>
      <c r="E28" s="96">
        <v>5.1139749999999999</v>
      </c>
      <c r="F28" s="21"/>
      <c r="G28" s="20"/>
    </row>
    <row r="29" spans="2:7" ht="12.75" customHeight="1" x14ac:dyDescent="0.2">
      <c r="B29" s="66"/>
      <c r="C29" s="89"/>
      <c r="D29" s="67"/>
      <c r="E29" s="90"/>
      <c r="F29" s="21"/>
      <c r="G29" s="20"/>
    </row>
    <row r="30" spans="2:7" ht="12.75" customHeight="1" x14ac:dyDescent="0.2">
      <c r="B30" s="88" t="s">
        <v>23</v>
      </c>
      <c r="C30" s="147">
        <v>433.25394</v>
      </c>
      <c r="D30" s="147">
        <v>495.604263</v>
      </c>
      <c r="E30" s="148">
        <v>521.04522599999996</v>
      </c>
      <c r="F30" s="21"/>
      <c r="G30" s="20"/>
    </row>
    <row r="31" spans="2:7" ht="12.75" customHeight="1" x14ac:dyDescent="0.2">
      <c r="B31" s="64" t="s">
        <v>24</v>
      </c>
      <c r="C31" s="95">
        <v>66.695442</v>
      </c>
      <c r="D31" s="95">
        <v>78.219933999999995</v>
      </c>
      <c r="E31" s="96">
        <v>81.933401000000003</v>
      </c>
      <c r="F31" s="21"/>
      <c r="G31" s="20"/>
    </row>
    <row r="32" spans="2:7" ht="12.75" customHeight="1" x14ac:dyDescent="0.2">
      <c r="B32" s="66"/>
      <c r="C32" s="89"/>
      <c r="D32" s="67"/>
      <c r="E32" s="90"/>
      <c r="F32" s="21"/>
      <c r="G32" s="20"/>
    </row>
    <row r="33" spans="1:11" ht="12.75" customHeight="1" x14ac:dyDescent="0.2">
      <c r="B33" s="87" t="s">
        <v>42</v>
      </c>
      <c r="C33" s="113">
        <v>27.030999999999999</v>
      </c>
      <c r="D33" s="113">
        <v>25.61</v>
      </c>
      <c r="E33" s="114">
        <v>24.021032000000002</v>
      </c>
      <c r="F33" s="21"/>
      <c r="G33" s="20"/>
    </row>
    <row r="34" spans="1:11" ht="12.75" customHeight="1" x14ac:dyDescent="0.2">
      <c r="B34" s="24" t="s">
        <v>64</v>
      </c>
      <c r="C34" s="91">
        <v>5.6909999999999998</v>
      </c>
      <c r="D34" s="91">
        <v>7.1169999999999991</v>
      </c>
      <c r="E34" s="92">
        <v>7.9379999999999997</v>
      </c>
      <c r="F34" s="21"/>
      <c r="G34" s="20"/>
    </row>
    <row r="35" spans="1:11" ht="12.75" customHeight="1" x14ac:dyDescent="0.2">
      <c r="B35" s="24" t="s">
        <v>65</v>
      </c>
      <c r="C35" s="91">
        <v>0.77349999999999997</v>
      </c>
      <c r="D35" s="91">
        <v>0.85373199999999994</v>
      </c>
      <c r="E35" s="92">
        <v>0.86317900000000003</v>
      </c>
      <c r="F35" s="21"/>
      <c r="G35" s="20"/>
    </row>
    <row r="36" spans="1:11" ht="12.75" customHeight="1" x14ac:dyDescent="0.2">
      <c r="B36" s="62" t="s">
        <v>66</v>
      </c>
      <c r="C36" s="93">
        <v>0.44245599999999996</v>
      </c>
      <c r="D36" s="93">
        <v>0.44806699999999999</v>
      </c>
      <c r="E36" s="94">
        <v>0.42099999999999999</v>
      </c>
      <c r="F36" s="21"/>
      <c r="G36" s="20"/>
    </row>
    <row r="37" spans="1:11" x14ac:dyDescent="0.2">
      <c r="B37" s="64" t="s">
        <v>30</v>
      </c>
      <c r="C37" s="95">
        <v>0.40550700000000001</v>
      </c>
      <c r="D37" s="95">
        <v>0.28044000000000002</v>
      </c>
      <c r="E37" s="96">
        <v>0.237648</v>
      </c>
      <c r="F37" s="21"/>
      <c r="G37" s="23"/>
    </row>
    <row r="38" spans="1:11" ht="12.75" customHeight="1" x14ac:dyDescent="0.2">
      <c r="C38" s="15"/>
      <c r="D38" s="15"/>
      <c r="E38" s="15"/>
      <c r="F38" s="21"/>
      <c r="G38" s="15"/>
    </row>
    <row r="39" spans="1:11" ht="12.75" customHeight="1" x14ac:dyDescent="0.2">
      <c r="C39" s="15"/>
      <c r="D39" s="15"/>
      <c r="E39" s="15"/>
      <c r="F39" s="15"/>
      <c r="G39" s="15"/>
    </row>
    <row r="40" spans="1:11" ht="12.75" customHeight="1" x14ac:dyDescent="0.2">
      <c r="C40" s="15"/>
      <c r="D40" s="15"/>
      <c r="E40" s="15"/>
      <c r="F40" s="15"/>
      <c r="G40" s="15"/>
    </row>
    <row r="41" spans="1:11" ht="12.75" customHeight="1" x14ac:dyDescent="0.2">
      <c r="A41" s="35" t="s">
        <v>48</v>
      </c>
      <c r="C41" s="15"/>
      <c r="D41" s="15"/>
      <c r="E41" s="15"/>
      <c r="F41" s="15"/>
      <c r="G41" s="15"/>
    </row>
    <row r="42" spans="1:11" ht="12.75" customHeight="1" x14ac:dyDescent="0.2">
      <c r="A42" s="13" t="s">
        <v>60</v>
      </c>
      <c r="C42" s="15"/>
      <c r="D42" s="15"/>
      <c r="E42" s="15"/>
      <c r="F42" s="15"/>
      <c r="G42" s="15"/>
    </row>
    <row r="43" spans="1:11" ht="12.75" customHeight="1" x14ac:dyDescent="0.2">
      <c r="A43" s="13" t="s">
        <v>61</v>
      </c>
      <c r="C43" s="15"/>
      <c r="D43" s="15"/>
      <c r="E43" s="15"/>
      <c r="F43" s="15"/>
      <c r="G43" s="15"/>
      <c r="H43" s="15"/>
      <c r="I43" s="15"/>
      <c r="J43" s="15"/>
      <c r="K43" s="15"/>
    </row>
    <row r="44" spans="1:11" ht="12.75" customHeight="1" x14ac:dyDescent="0.2">
      <c r="A44" s="13" t="s">
        <v>63</v>
      </c>
      <c r="C44" s="15"/>
      <c r="D44" s="15"/>
      <c r="E44" s="15"/>
      <c r="F44" s="15"/>
      <c r="G44" s="15"/>
      <c r="H44" s="15"/>
      <c r="I44" s="15"/>
      <c r="J44" s="15"/>
      <c r="K44" s="15"/>
    </row>
    <row r="45" spans="1:11" x14ac:dyDescent="0.2">
      <c r="A45" s="14" t="s">
        <v>71</v>
      </c>
    </row>
    <row r="46" spans="1:11" x14ac:dyDescent="0.2">
      <c r="A46" s="16" t="s">
        <v>77</v>
      </c>
    </row>
    <row r="47" spans="1:11" x14ac:dyDescent="0.2">
      <c r="A47" s="3" t="s">
        <v>79</v>
      </c>
      <c r="B47" s="123" t="s">
        <v>86</v>
      </c>
    </row>
    <row r="48" spans="1:11" x14ac:dyDescent="0.2">
      <c r="A48" s="3" t="s">
        <v>78</v>
      </c>
      <c r="B48" s="123" t="s">
        <v>87</v>
      </c>
    </row>
  </sheetData>
  <mergeCells count="1">
    <mergeCell ref="A2:D2"/>
  </mergeCells>
  <hyperlinks>
    <hyperlink ref="B47" r:id="rId1" xr:uid="{FD72A3C1-0801-418D-AF3B-483D2588F25D}"/>
    <hyperlink ref="B48" r:id="rId2" xr:uid="{58725978-D3C5-47BE-B320-866332AB1ACB}"/>
  </hyperlinks>
  <pageMargins left="0.75" right="0.75" top="1" bottom="1" header="0.5" footer="0.5"/>
  <pageSetup paperSize="9" scale="91" orientation="landscape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AC00-D06E-4EC4-9345-2E90AA29BAA5}">
  <sheetPr>
    <pageSetUpPr fitToPage="1"/>
  </sheetPr>
  <dimension ref="A1:AA55"/>
  <sheetViews>
    <sheetView showGridLines="0" zoomScaleNormal="100" workbookViewId="0"/>
  </sheetViews>
  <sheetFormatPr defaultColWidth="9.140625" defaultRowHeight="12.75" x14ac:dyDescent="0.2"/>
  <cols>
    <col min="1" max="1" width="14.28515625" style="3" customWidth="1"/>
    <col min="2" max="2" width="26.5703125" style="3" customWidth="1"/>
    <col min="3" max="6" width="9.85546875" style="3" customWidth="1"/>
    <col min="7" max="7" width="9.5703125" style="3" bestFit="1" customWidth="1"/>
    <col min="8" max="8" width="16.140625" style="3" bestFit="1" customWidth="1"/>
    <col min="9" max="10" width="10" style="3" bestFit="1" customWidth="1"/>
    <col min="11" max="11" width="10" style="3" customWidth="1"/>
    <col min="12" max="12" width="10" style="3" bestFit="1" customWidth="1"/>
    <col min="13" max="13" width="16.140625" style="3" bestFit="1" customWidth="1"/>
    <col min="14" max="16" width="7.28515625" style="3" bestFit="1" customWidth="1"/>
    <col min="17" max="16384" width="9.140625" style="3"/>
  </cols>
  <sheetData>
    <row r="1" spans="1:27" ht="15.75" x14ac:dyDescent="0.25">
      <c r="A1" s="2" t="s">
        <v>56</v>
      </c>
      <c r="H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14.25" x14ac:dyDescent="0.2">
      <c r="A2" s="34" t="s">
        <v>40</v>
      </c>
      <c r="H2" s="17"/>
      <c r="J2" s="34"/>
      <c r="K2" s="34"/>
      <c r="L2" s="34"/>
      <c r="M2" s="34"/>
      <c r="N2" s="34"/>
      <c r="O2" s="34"/>
      <c r="P2" s="34"/>
      <c r="Q2" s="34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 x14ac:dyDescent="0.2">
      <c r="B3" s="18"/>
      <c r="C3" s="18"/>
      <c r="D3" s="18"/>
      <c r="E3" s="18"/>
      <c r="F3" s="18"/>
      <c r="G3" s="18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s="19" customFormat="1" ht="18" customHeight="1" x14ac:dyDescent="0.2">
      <c r="B4" s="42"/>
      <c r="C4" s="59">
        <v>2022</v>
      </c>
      <c r="D4" s="59">
        <v>2023</v>
      </c>
      <c r="E4" s="59">
        <v>2024</v>
      </c>
      <c r="F4" s="18"/>
      <c r="G4" s="18"/>
    </row>
    <row r="5" spans="1:27" ht="12.75" customHeight="1" x14ac:dyDescent="0.2">
      <c r="B5" s="60" t="s">
        <v>12</v>
      </c>
      <c r="C5" s="106">
        <v>34.14601090491589</v>
      </c>
      <c r="D5" s="36">
        <v>33.349625988750155</v>
      </c>
      <c r="E5" s="107">
        <v>32.791805669221041</v>
      </c>
      <c r="F5" s="18"/>
      <c r="G5" s="97"/>
      <c r="H5" s="98"/>
    </row>
    <row r="6" spans="1:27" ht="12.75" customHeight="1" x14ac:dyDescent="0.2">
      <c r="B6" s="24" t="s">
        <v>2</v>
      </c>
      <c r="C6" s="91">
        <v>31.480295977471389</v>
      </c>
      <c r="D6" s="37">
        <v>31.1659840604222</v>
      </c>
      <c r="E6" s="108">
        <v>31.016486645667712</v>
      </c>
      <c r="F6" s="18"/>
      <c r="G6" s="97"/>
      <c r="H6" s="98"/>
    </row>
    <row r="7" spans="1:27" ht="12.75" customHeight="1" x14ac:dyDescent="0.2">
      <c r="B7" s="61" t="s">
        <v>3</v>
      </c>
      <c r="C7" s="109">
        <v>30.105026898815005</v>
      </c>
      <c r="D7" s="36">
        <v>30.147991444167165</v>
      </c>
      <c r="E7" s="108">
        <v>30.026055715916083</v>
      </c>
      <c r="F7" s="18"/>
      <c r="G7" s="97"/>
      <c r="H7" s="98"/>
    </row>
    <row r="8" spans="1:27" ht="12.75" customHeight="1" x14ac:dyDescent="0.2">
      <c r="B8" s="24" t="s">
        <v>15</v>
      </c>
      <c r="C8" s="91">
        <v>29.067182400039023</v>
      </c>
      <c r="D8" s="37">
        <v>28.66542588875372</v>
      </c>
      <c r="E8" s="108">
        <v>28.496483362904325</v>
      </c>
      <c r="F8" s="39"/>
      <c r="G8" s="97"/>
      <c r="H8" s="98"/>
    </row>
    <row r="9" spans="1:27" ht="12.75" customHeight="1" x14ac:dyDescent="0.2">
      <c r="B9" s="24" t="s">
        <v>22</v>
      </c>
      <c r="C9" s="91">
        <v>23.341407453230985</v>
      </c>
      <c r="D9" s="37">
        <v>23.187825070740487</v>
      </c>
      <c r="E9" s="108">
        <v>23.121566965420854</v>
      </c>
      <c r="F9" s="39"/>
      <c r="G9" s="97"/>
      <c r="H9" s="98"/>
    </row>
    <row r="10" spans="1:27" ht="12.75" customHeight="1" x14ac:dyDescent="0.2">
      <c r="B10" s="24" t="s">
        <v>68</v>
      </c>
      <c r="C10" s="91">
        <v>18.131376618244033</v>
      </c>
      <c r="D10" s="37">
        <v>17.906792887724983</v>
      </c>
      <c r="E10" s="108">
        <v>17.775407121084157</v>
      </c>
      <c r="F10" s="39"/>
      <c r="G10" s="97"/>
      <c r="H10" s="98"/>
    </row>
    <row r="11" spans="1:27" ht="12.75" customHeight="1" x14ac:dyDescent="0.2">
      <c r="B11" s="24" t="s">
        <v>8</v>
      </c>
      <c r="C11" s="91">
        <v>16.768882267491534</v>
      </c>
      <c r="D11" s="37">
        <v>16.723321749673133</v>
      </c>
      <c r="E11" s="108">
        <v>16.676876655478562</v>
      </c>
      <c r="F11" s="39"/>
      <c r="G11" s="97"/>
      <c r="H11" s="98"/>
    </row>
    <row r="12" spans="1:27" ht="12.75" customHeight="1" x14ac:dyDescent="0.2">
      <c r="B12" s="61" t="s">
        <v>17</v>
      </c>
      <c r="C12" s="109">
        <v>16.471680051188372</v>
      </c>
      <c r="D12" s="36">
        <v>16.322096707678256</v>
      </c>
      <c r="E12" s="108">
        <v>16.133244878674507</v>
      </c>
      <c r="F12" s="39"/>
      <c r="G12" s="97"/>
      <c r="H12" s="98"/>
    </row>
    <row r="13" spans="1:27" x14ac:dyDescent="0.2">
      <c r="B13" s="24" t="s">
        <v>28</v>
      </c>
      <c r="C13" s="91">
        <v>16.576229992905574</v>
      </c>
      <c r="D13" s="37">
        <v>16.100382090872259</v>
      </c>
      <c r="E13" s="108">
        <v>15.992520931273683</v>
      </c>
      <c r="F13" s="39"/>
      <c r="G13" s="97"/>
      <c r="H13" s="98"/>
    </row>
    <row r="14" spans="1:27" ht="12.75" customHeight="1" x14ac:dyDescent="0.2">
      <c r="B14" s="24" t="s">
        <v>69</v>
      </c>
      <c r="C14" s="91">
        <v>14.713516176168678</v>
      </c>
      <c r="D14" s="37">
        <v>14.72985321275234</v>
      </c>
      <c r="E14" s="108">
        <v>14.753085331333185</v>
      </c>
      <c r="F14" s="39"/>
      <c r="G14" s="97"/>
      <c r="H14" s="98"/>
    </row>
    <row r="15" spans="1:27" ht="12.75" customHeight="1" x14ac:dyDescent="0.2">
      <c r="B15" s="24" t="s">
        <v>21</v>
      </c>
      <c r="C15" s="91">
        <v>13.714099477654269</v>
      </c>
      <c r="D15" s="37">
        <v>13.67533056432727</v>
      </c>
      <c r="E15" s="108">
        <v>13.578007159719272</v>
      </c>
      <c r="F15" s="39"/>
      <c r="G15" s="97"/>
      <c r="H15" s="98"/>
    </row>
    <row r="16" spans="1:27" ht="12.75" customHeight="1" x14ac:dyDescent="0.2">
      <c r="B16" s="24" t="s">
        <v>20</v>
      </c>
      <c r="C16" s="91">
        <v>12.273880750258707</v>
      </c>
      <c r="D16" s="37">
        <v>12.287265196382545</v>
      </c>
      <c r="E16" s="108">
        <v>12.296563285586798</v>
      </c>
      <c r="F16" s="39"/>
      <c r="G16" s="97"/>
      <c r="H16" s="98"/>
    </row>
    <row r="17" spans="2:8" ht="12.75" customHeight="1" x14ac:dyDescent="0.2">
      <c r="B17" s="24" t="s">
        <v>9</v>
      </c>
      <c r="C17" s="91">
        <v>11.546256875280969</v>
      </c>
      <c r="D17" s="37">
        <v>11.55270194936875</v>
      </c>
      <c r="E17" s="108">
        <v>11.557789773080874</v>
      </c>
      <c r="F17" s="39"/>
      <c r="G17" s="97"/>
      <c r="H17" s="98"/>
    </row>
    <row r="18" spans="2:8" ht="12.75" customHeight="1" x14ac:dyDescent="0.2">
      <c r="B18" s="24" t="s">
        <v>7</v>
      </c>
      <c r="C18" s="91">
        <v>11.669640388601955</v>
      </c>
      <c r="D18" s="37">
        <v>11.524388493204825</v>
      </c>
      <c r="E18" s="108">
        <v>11.39773462174125</v>
      </c>
      <c r="F18" s="39"/>
      <c r="G18" s="97"/>
      <c r="H18" s="98"/>
    </row>
    <row r="19" spans="2:8" ht="12.75" customHeight="1" x14ac:dyDescent="0.2">
      <c r="B19" s="24" t="s">
        <v>16</v>
      </c>
      <c r="C19" s="91">
        <v>9.031671362685163</v>
      </c>
      <c r="D19" s="37">
        <v>9.0650974366252175</v>
      </c>
      <c r="E19" s="108">
        <v>9.0979621238869424</v>
      </c>
      <c r="F19" s="39"/>
      <c r="G19" s="97"/>
      <c r="H19" s="98"/>
    </row>
    <row r="20" spans="2:8" ht="12.75" customHeight="1" x14ac:dyDescent="0.2">
      <c r="B20" s="24" t="s">
        <v>10</v>
      </c>
      <c r="C20" s="110">
        <v>8.3666450398425809</v>
      </c>
      <c r="D20" s="38">
        <v>8.2943650530652935</v>
      </c>
      <c r="E20" s="111">
        <v>8.3686125431660585</v>
      </c>
      <c r="F20" s="39"/>
      <c r="G20" s="97"/>
      <c r="H20" s="98"/>
    </row>
    <row r="21" spans="2:8" ht="12.75" customHeight="1" x14ac:dyDescent="0.2">
      <c r="B21" s="61" t="s">
        <v>5</v>
      </c>
      <c r="C21" s="109">
        <v>6.9544316302752067</v>
      </c>
      <c r="D21" s="36">
        <v>6.7999205143989396</v>
      </c>
      <c r="E21" s="108">
        <v>6.6979080031115457</v>
      </c>
      <c r="F21" s="39"/>
      <c r="G21" s="97"/>
      <c r="H21" s="98"/>
    </row>
    <row r="22" spans="2:8" ht="12.75" customHeight="1" x14ac:dyDescent="0.2">
      <c r="B22" s="24" t="s">
        <v>19</v>
      </c>
      <c r="C22" s="91">
        <v>6.6006216839567573</v>
      </c>
      <c r="D22" s="37">
        <v>6.5700906766834892</v>
      </c>
      <c r="E22" s="108">
        <v>6.548508462303003</v>
      </c>
      <c r="F22" s="40"/>
      <c r="G22" s="97"/>
      <c r="H22" s="98"/>
    </row>
    <row r="23" spans="2:8" ht="12.75" customHeight="1" x14ac:dyDescent="0.2">
      <c r="B23" s="24" t="s">
        <v>4</v>
      </c>
      <c r="C23" s="91">
        <v>5.3529219189725756</v>
      </c>
      <c r="D23" s="37">
        <v>5.2193304848727999</v>
      </c>
      <c r="E23" s="108">
        <v>5.1859077739150807</v>
      </c>
      <c r="F23" s="39"/>
      <c r="G23" s="97"/>
      <c r="H23" s="98"/>
    </row>
    <row r="24" spans="2:8" ht="12.75" customHeight="1" x14ac:dyDescent="0.2">
      <c r="B24" s="60" t="s">
        <v>27</v>
      </c>
      <c r="C24" s="106">
        <v>4.8109851500593557</v>
      </c>
      <c r="D24" s="36">
        <v>4.8252410998588902</v>
      </c>
      <c r="E24" s="107">
        <v>4.8114062082871243</v>
      </c>
      <c r="F24" s="18"/>
      <c r="G24" s="97"/>
      <c r="H24" s="98"/>
    </row>
    <row r="25" spans="2:8" ht="12.75" customHeight="1" x14ac:dyDescent="0.2">
      <c r="B25" s="24" t="s">
        <v>18</v>
      </c>
      <c r="C25" s="91">
        <v>3.640084694961863</v>
      </c>
      <c r="D25" s="37">
        <v>3.6377745092667642</v>
      </c>
      <c r="E25" s="108">
        <v>3.6352889848190455</v>
      </c>
      <c r="F25" s="39"/>
      <c r="G25" s="97"/>
      <c r="H25" s="98"/>
    </row>
    <row r="26" spans="2:8" ht="12.75" customHeight="1" x14ac:dyDescent="0.2">
      <c r="B26" s="24" t="s">
        <v>1</v>
      </c>
      <c r="C26" s="91">
        <v>3.5580964025518611</v>
      </c>
      <c r="D26" s="37">
        <v>3.5772860441924341</v>
      </c>
      <c r="E26" s="108">
        <v>3.5785231544395213</v>
      </c>
      <c r="F26" s="39"/>
      <c r="G26" s="97"/>
      <c r="H26" s="98"/>
    </row>
    <row r="27" spans="2:8" ht="12.75" customHeight="1" x14ac:dyDescent="0.2">
      <c r="B27" s="24" t="s">
        <v>11</v>
      </c>
      <c r="C27" s="91">
        <v>1.5910332081491148</v>
      </c>
      <c r="D27" s="37">
        <v>1.5624781479162517</v>
      </c>
      <c r="E27" s="108">
        <v>1.5469870483673847</v>
      </c>
      <c r="F27" s="39"/>
      <c r="G27" s="97"/>
      <c r="H27" s="98"/>
    </row>
    <row r="28" spans="2:8" ht="12.75" customHeight="1" x14ac:dyDescent="0.2">
      <c r="B28" s="64" t="s">
        <v>6</v>
      </c>
      <c r="C28" s="95">
        <v>1.4743186808291033</v>
      </c>
      <c r="D28" s="101">
        <v>1.4808026363018487</v>
      </c>
      <c r="E28" s="112">
        <v>1.4826908137128969</v>
      </c>
      <c r="F28" s="39"/>
      <c r="G28" s="97"/>
      <c r="H28" s="98"/>
    </row>
    <row r="29" spans="2:8" ht="12.75" customHeight="1" x14ac:dyDescent="0.2">
      <c r="B29" s="66"/>
      <c r="C29" s="121"/>
      <c r="D29" s="122"/>
      <c r="E29" s="121"/>
      <c r="F29" s="39"/>
      <c r="G29" s="97"/>
      <c r="H29" s="98"/>
    </row>
    <row r="30" spans="2:8" ht="12.75" customHeight="1" x14ac:dyDescent="0.2">
      <c r="B30" s="65" t="s">
        <v>23</v>
      </c>
      <c r="C30" s="113">
        <v>49.578247151121936</v>
      </c>
      <c r="D30" s="113">
        <v>49.147477960406718</v>
      </c>
      <c r="E30" s="114">
        <v>48.342051746334462</v>
      </c>
      <c r="F30" s="39"/>
      <c r="G30" s="97"/>
      <c r="H30" s="98"/>
    </row>
    <row r="31" spans="2:8" ht="12.75" customHeight="1" x14ac:dyDescent="0.2">
      <c r="B31" s="64" t="s">
        <v>24</v>
      </c>
      <c r="C31" s="95">
        <v>12.293478849900557</v>
      </c>
      <c r="D31" s="95">
        <v>12.150780909545373</v>
      </c>
      <c r="E31" s="96">
        <v>12.016726913560317</v>
      </c>
      <c r="F31" s="39"/>
      <c r="G31" s="97"/>
      <c r="H31" s="98"/>
    </row>
    <row r="32" spans="2:8" ht="12.75" customHeight="1" x14ac:dyDescent="0.2">
      <c r="B32" s="15"/>
      <c r="C32" s="121"/>
      <c r="D32" s="122"/>
      <c r="E32" s="121"/>
      <c r="F32" s="39"/>
      <c r="G32" s="97"/>
      <c r="H32" s="98"/>
    </row>
    <row r="33" spans="1:24" ht="12.75" customHeight="1" x14ac:dyDescent="0.2">
      <c r="B33" s="102" t="s">
        <v>45</v>
      </c>
      <c r="C33" s="115">
        <v>1.252260463700636</v>
      </c>
      <c r="D33" s="115">
        <v>1.2542666958545148</v>
      </c>
      <c r="E33" s="116">
        <v>1.2402193432529502</v>
      </c>
      <c r="F33" s="39"/>
      <c r="G33" s="99"/>
      <c r="H33" s="100"/>
    </row>
    <row r="34" spans="1:24" ht="12.75" customHeight="1" x14ac:dyDescent="0.2">
      <c r="B34" s="103" t="s">
        <v>50</v>
      </c>
      <c r="C34" s="117">
        <v>0.8372682193374974</v>
      </c>
      <c r="D34" s="117">
        <v>0.85692383466414257</v>
      </c>
      <c r="E34" s="118">
        <v>0.86159806987498277</v>
      </c>
      <c r="F34" s="39"/>
      <c r="G34" s="99"/>
      <c r="H34" s="100"/>
    </row>
    <row r="35" spans="1:24" ht="12.75" customHeight="1" x14ac:dyDescent="0.2">
      <c r="B35" s="104" t="s">
        <v>43</v>
      </c>
      <c r="C35" s="117">
        <v>0.31921248057384038</v>
      </c>
      <c r="D35" s="117">
        <v>0.31696929743522462</v>
      </c>
      <c r="E35" s="118">
        <v>0.31662466186223209</v>
      </c>
      <c r="F35" s="39"/>
      <c r="G35" s="99"/>
      <c r="H35" s="100"/>
    </row>
    <row r="36" spans="1:24" ht="12.75" customHeight="1" x14ac:dyDescent="0.2">
      <c r="B36" s="103" t="s">
        <v>30</v>
      </c>
      <c r="C36" s="117">
        <v>0.22073045004283892</v>
      </c>
      <c r="D36" s="117">
        <v>0.22159409471494912</v>
      </c>
      <c r="E36" s="118">
        <v>0.22204389658134963</v>
      </c>
      <c r="F36" s="39"/>
      <c r="G36" s="99"/>
      <c r="H36" s="100"/>
    </row>
    <row r="37" spans="1:24" ht="12.75" customHeight="1" x14ac:dyDescent="0.2">
      <c r="B37" s="105" t="s">
        <v>46</v>
      </c>
      <c r="C37" s="119">
        <v>0.12771563429458166</v>
      </c>
      <c r="D37" s="119">
        <v>0.12857630229507547</v>
      </c>
      <c r="E37" s="120">
        <v>0.12948331167259616</v>
      </c>
      <c r="F37" s="39"/>
      <c r="G37" s="99"/>
      <c r="H37" s="100"/>
    </row>
    <row r="38" spans="1:24" ht="12.75" customHeight="1" x14ac:dyDescent="0.2">
      <c r="C38" s="15"/>
      <c r="D38" s="15"/>
      <c r="E38" s="15"/>
    </row>
    <row r="39" spans="1:24" ht="12.75" customHeight="1" x14ac:dyDescent="0.2">
      <c r="C39" s="15"/>
      <c r="D39" s="15"/>
      <c r="E39" s="15"/>
      <c r="F39" s="15"/>
      <c r="G39" s="15"/>
    </row>
    <row r="40" spans="1:24" ht="12.75" customHeight="1" x14ac:dyDescent="0.2">
      <c r="C40" s="15"/>
      <c r="D40" s="15"/>
      <c r="E40" s="15"/>
      <c r="F40" s="15"/>
      <c r="G40" s="15"/>
    </row>
    <row r="41" spans="1:24" ht="12.75" customHeight="1" x14ac:dyDescent="0.2">
      <c r="C41" s="15"/>
      <c r="D41" s="15"/>
      <c r="E41" s="15"/>
      <c r="F41" s="15"/>
      <c r="G41" s="15"/>
    </row>
    <row r="42" spans="1:24" ht="12.75" customHeight="1" x14ac:dyDescent="0.2">
      <c r="C42" s="15"/>
      <c r="D42" s="15"/>
      <c r="E42" s="15"/>
      <c r="F42" s="15"/>
      <c r="G42" s="15"/>
    </row>
    <row r="43" spans="1:24" x14ac:dyDescent="0.2">
      <c r="B43" s="23"/>
      <c r="C43" s="23"/>
      <c r="D43" s="23"/>
      <c r="E43" s="23"/>
      <c r="F43" s="23"/>
      <c r="G43" s="23"/>
    </row>
    <row r="45" spans="1:24" x14ac:dyDescent="0.2">
      <c r="X45" s="13"/>
    </row>
    <row r="46" spans="1:24" x14ac:dyDescent="0.2">
      <c r="X46" s="13"/>
    </row>
    <row r="47" spans="1:24" x14ac:dyDescent="0.2">
      <c r="X47" s="13"/>
    </row>
    <row r="48" spans="1:24" x14ac:dyDescent="0.2">
      <c r="A48" s="15" t="s">
        <v>58</v>
      </c>
      <c r="X48" s="13"/>
    </row>
    <row r="49" spans="1:24" x14ac:dyDescent="0.2">
      <c r="A49" s="13" t="s">
        <v>60</v>
      </c>
      <c r="X49" s="13"/>
    </row>
    <row r="50" spans="1:24" x14ac:dyDescent="0.2">
      <c r="A50" s="3" t="s">
        <v>67</v>
      </c>
      <c r="X50" s="13"/>
    </row>
    <row r="51" spans="1:24" x14ac:dyDescent="0.2">
      <c r="A51" s="14" t="s">
        <v>74</v>
      </c>
      <c r="Q51" s="13"/>
      <c r="X51" s="13"/>
    </row>
    <row r="52" spans="1:24" x14ac:dyDescent="0.2">
      <c r="A52" s="16" t="s">
        <v>77</v>
      </c>
      <c r="Q52" s="14"/>
      <c r="X52" s="13"/>
    </row>
    <row r="53" spans="1:24" x14ac:dyDescent="0.2">
      <c r="A53" s="3" t="s">
        <v>79</v>
      </c>
      <c r="B53" s="123" t="s">
        <v>86</v>
      </c>
    </row>
    <row r="54" spans="1:24" x14ac:dyDescent="0.2">
      <c r="A54" s="3" t="s">
        <v>78</v>
      </c>
      <c r="B54" s="123" t="s">
        <v>87</v>
      </c>
    </row>
    <row r="55" spans="1:24" x14ac:dyDescent="0.2">
      <c r="A55" s="3" t="s">
        <v>88</v>
      </c>
      <c r="B55" s="123" t="s">
        <v>89</v>
      </c>
    </row>
  </sheetData>
  <phoneticPr fontId="9" type="noConversion"/>
  <hyperlinks>
    <hyperlink ref="B53" r:id="rId1" xr:uid="{483548FE-50E7-4B71-A3DA-516E47EA9B55}"/>
    <hyperlink ref="B54" r:id="rId2" xr:uid="{08814CB7-06B3-47AE-8C45-218347171C99}"/>
    <hyperlink ref="B55" r:id="rId3" xr:uid="{821BAC59-F829-41CD-AD9B-824E7CF4D322}"/>
  </hyperlinks>
  <pageMargins left="0.75" right="0.75" top="1" bottom="1" header="0.5" footer="0.5"/>
  <pageSetup paperSize="9" scale="91" orientation="landscape" r:id="rId4"/>
  <headerFooter alignWithMargins="0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FE6BEA-9ED5-4148-AB64-315C3CF620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Figure1</vt:lpstr>
      <vt:lpstr>Figure2</vt:lpstr>
      <vt:lpstr>Figure3</vt:lpstr>
      <vt:lpstr>Figure4</vt:lpstr>
      <vt:lpstr>Figure5</vt:lpstr>
      <vt:lpstr>Figure1!Print_Area</vt:lpstr>
      <vt:lpstr>Figure2!Print_Area</vt:lpstr>
      <vt:lpstr>Figure4!Print_Area</vt:lpstr>
      <vt:lpstr>Figure5!Print_Area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Ganea</dc:creator>
  <cp:lastModifiedBy>Marianne Doul</cp:lastModifiedBy>
  <cp:lastPrinted>2010-05-05T12:12:02Z</cp:lastPrinted>
  <dcterms:created xsi:type="dcterms:W3CDTF">2010-05-05T07:19:10Z</dcterms:created>
  <dcterms:modified xsi:type="dcterms:W3CDTF">2025-10-30T11:20:25Z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2025-10-21T14:18:22Z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97d31d80-046b-4350-bce8-7ad25dc4cbac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